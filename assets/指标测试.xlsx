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季末监管指标" sheetId="4" r:id="rId1"/>
    <sheet name="Sheet1" sheetId="1" r:id="rId2"/>
    <sheet name="Sheet2" sheetId="2" r:id="rId3"/>
    <sheet name="Sheet3" sheetId="3" r:id="rId4"/>
  </sheets>
  <definedNames>
    <definedName name="_xlnm.Print_Area" localSheetId="0">季末监管指标!$A$1:$F$98</definedName>
    <definedName name="_xlnm.Print_Titles" localSheetId="0">季末监管指标!$A$2:$GS$2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<sst xmlns="http://schemas.openxmlformats.org/spreadsheetml/2006/main" count="122" uniqueCount="98">
  <si>
    <t>主要监管指标情况表</t>
  </si>
  <si>
    <t>序号</t>
  </si>
  <si>
    <t>指标</t>
  </si>
  <si>
    <t>2024.3</t>
  </si>
  <si>
    <t>2024.6</t>
  </si>
  <si>
    <t>2024.9</t>
  </si>
  <si>
    <t>2024.12</t>
  </si>
  <si>
    <t>2025.3</t>
  </si>
  <si>
    <t>2025.6</t>
  </si>
  <si>
    <t>2025.9</t>
  </si>
  <si>
    <t>2025.12</t>
  </si>
  <si>
    <t>资本净额</t>
  </si>
  <si>
    <t>风险加权资产</t>
  </si>
  <si>
    <t>资本充足率(老版本）</t>
  </si>
  <si>
    <t>核心资本净额</t>
  </si>
  <si>
    <t>核心资本充足率</t>
  </si>
  <si>
    <t>一级资本净额</t>
  </si>
  <si>
    <t>调整后表内外资产余额</t>
  </si>
  <si>
    <t>杠杆率</t>
  </si>
  <si>
    <t>不良贷款总额</t>
  </si>
  <si>
    <t>贷款总额</t>
  </si>
  <si>
    <t>不良贷款率</t>
  </si>
  <si>
    <t>不良信用风险资产</t>
  </si>
  <si>
    <t>信用风险资产</t>
  </si>
  <si>
    <t>不良资产率</t>
  </si>
  <si>
    <r>
      <t>最大一家集团客户授信总额</t>
    </r>
    <r>
      <rPr>
        <sz val="10"/>
        <color indexed="10"/>
        <rFont val="宋体"/>
        <charset val="134"/>
      </rPr>
      <t>(黄玉兰）</t>
    </r>
  </si>
  <si>
    <t>单一集团客户授信集中度</t>
  </si>
  <si>
    <t>最大一家客户贷款总额</t>
  </si>
  <si>
    <t>单一客户贷款集中度</t>
  </si>
  <si>
    <t>全部关联方授信总额</t>
  </si>
  <si>
    <t>全部关联度</t>
  </si>
  <si>
    <t>9（按3,30,60,100)</t>
  </si>
  <si>
    <t>贷款实际计提准备</t>
  </si>
  <si>
    <t>贷款应提准备</t>
  </si>
  <si>
    <t>贷款损失准备充足率</t>
  </si>
  <si>
    <t>9.(按2，25，50，100）</t>
  </si>
  <si>
    <t>10（按3,30,60,100)</t>
  </si>
  <si>
    <t>信用风险资产实际计提准备</t>
  </si>
  <si>
    <t>信用风险资产应提准备</t>
  </si>
  <si>
    <t>资产损失准备充足率</t>
  </si>
  <si>
    <t>贷款准备总额</t>
  </si>
  <si>
    <t>拨备覆盖率</t>
  </si>
  <si>
    <t>贷款余额</t>
  </si>
  <si>
    <t>贷款拨备率</t>
  </si>
  <si>
    <t>非信贷资产减值准备实提数</t>
  </si>
  <si>
    <r>
      <t>非信贷资产减值准备应提数（</t>
    </r>
    <r>
      <rPr>
        <sz val="10"/>
        <color indexed="10"/>
        <rFont val="宋体"/>
        <charset val="134"/>
      </rPr>
      <t>加龙游2000万元）</t>
    </r>
  </si>
  <si>
    <t>非信贷资产减值准备充足程度</t>
  </si>
  <si>
    <t>净利润</t>
  </si>
  <si>
    <t>平均资产余额</t>
  </si>
  <si>
    <t>资产利润率</t>
  </si>
  <si>
    <t>平均所有者权益</t>
  </si>
  <si>
    <t>资本利润率</t>
  </si>
  <si>
    <t>营业支出－营业税金及附加</t>
  </si>
  <si>
    <t>营业净收入</t>
  </si>
  <si>
    <t>成本收入比率</t>
  </si>
  <si>
    <t>流动性资产</t>
  </si>
  <si>
    <t>流动性负债</t>
  </si>
  <si>
    <t>本外币合计流动性比例</t>
  </si>
  <si>
    <t>三个月以上定期存款＋三个月以上发行债券＋活期存款一年以上</t>
  </si>
  <si>
    <t>总负债</t>
  </si>
  <si>
    <t>核心负债比例</t>
  </si>
  <si>
    <t>流动性缺口</t>
  </si>
  <si>
    <t>90天内到期表内外资产</t>
  </si>
  <si>
    <t>流动性缺口率</t>
  </si>
  <si>
    <t>在中国人民银行超额准备金存款+库存现金</t>
  </si>
  <si>
    <t>人民币各项存款期末余额</t>
  </si>
  <si>
    <t>人民币超额备付金率</t>
  </si>
  <si>
    <t>各项贷款余额（调整后）</t>
  </si>
  <si>
    <t>各项存款余额（调整后）</t>
  </si>
  <si>
    <t>存贷款比例</t>
  </si>
  <si>
    <t>最大经济价值变动（2019年开始）</t>
  </si>
  <si>
    <t>银行账簿最大经济价值变动比例</t>
  </si>
  <si>
    <t>累计外汇敞口头寸</t>
  </si>
  <si>
    <t>累计外汇敞口头寸比例</t>
  </si>
  <si>
    <t>优质流动性资产</t>
  </si>
  <si>
    <t>净资金流出</t>
  </si>
  <si>
    <t>流动性覆盖率</t>
  </si>
  <si>
    <t>可用的稳定资金</t>
  </si>
  <si>
    <t>业务所需的稳定资金</t>
  </si>
  <si>
    <t>净稳定资金比例</t>
  </si>
  <si>
    <t>26(新）</t>
  </si>
  <si>
    <t>资本充足率</t>
  </si>
  <si>
    <t>27（新）</t>
  </si>
  <si>
    <t>一级资本充足率</t>
  </si>
  <si>
    <t>短期现金净流出</t>
  </si>
  <si>
    <t>优质流动性资产充足率</t>
  </si>
  <si>
    <t>加权资金来源</t>
  </si>
  <si>
    <t>加权资金运用</t>
  </si>
  <si>
    <t>流动性匹配率</t>
  </si>
  <si>
    <t>扣除结算性同业存款后的融入余额+附注：发行的同业存单</t>
  </si>
  <si>
    <t>负债合计</t>
  </si>
  <si>
    <t>同业融入比列</t>
  </si>
  <si>
    <t>平均加权风险资产余额</t>
  </si>
  <si>
    <t>风险资产收益率</t>
  </si>
  <si>
    <t>非利息净收入</t>
  </si>
  <si>
    <t>非息风险资产收益率</t>
  </si>
  <si>
    <t>利息净收入</t>
  </si>
  <si>
    <t>生息资产平均余额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</si>
</sst>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0_ 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6"/>
      <name val="宋体"/>
      <charset val="134"/>
    </font>
    <font>
      <sz val="16"/>
      <color theme="1"/>
      <name val="宋体"/>
      <charset val="134"/>
    </font>
    <font>
      <sz val="16"/>
      <color rgb="FF000000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family val="2"/>
      <charset val="0"/>
    </font>
    <font>
      <sz val="10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7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8" borderId="8">
      <alignment vertical="center"/>
    </xf>
    <xf numFmtId="0" fontId="22" fillId="9" borderId="9">
      <alignment vertical="center"/>
    </xf>
    <xf numFmtId="0" fontId="23" fillId="9" borderId="8">
      <alignment vertical="center"/>
    </xf>
    <xf numFmtId="0" fontId="24" fillId="10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0" fillId="37" borderId="0">
      <alignment vertical="center"/>
    </xf>
    <xf numFmtId="0" fontId="32" fillId="0" borderId="0">
      <alignment vertical="center"/>
    </xf>
    <xf numFmtId="0" fontId="33" fillId="0" borderId="0"/>
    <xf numFmtId="0" fontId="32" fillId="0" borderId="0">
      <alignment vertical="center"/>
    </xf>
  </cellStyleXfs>
  <cellXfs count="58"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176" fontId="9" fillId="0" borderId="2" xfId="1" applyNumberFormat="1" applyFont="1" applyBorder="1" applyAlignment="1">
      <alignment horizontal="left" vertical="center"/>
    </xf>
    <xf numFmtId="0" fontId="1" fillId="0" borderId="2" xfId="0" applyFont="1" applyFill="1" applyBorder="1" applyAlignment="1">
      <alignment horizontal="right" vertical="center"/>
    </xf>
    <xf numFmtId="177" fontId="10" fillId="3" borderId="2" xfId="0" applyNumberFormat="1" applyFont="1" applyFill="1" applyBorder="1" applyAlignment="1">
      <alignment horizontal="right" vertical="center"/>
    </xf>
    <xf numFmtId="177" fontId="11" fillId="3" borderId="2" xfId="0" applyNumberFormat="1" applyFont="1" applyFill="1" applyBorder="1" applyAlignment="1">
      <alignment horizontal="right" vertical="center"/>
    </xf>
    <xf numFmtId="177" fontId="2" fillId="0" borderId="2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right" vertical="center"/>
    </xf>
    <xf numFmtId="176" fontId="9" fillId="0" borderId="2" xfId="1" applyNumberFormat="1" applyFont="1" applyFill="1" applyBorder="1" applyAlignment="1">
      <alignment horizontal="left" vertical="center"/>
    </xf>
    <xf numFmtId="43" fontId="10" fillId="3" borderId="2" xfId="1" applyNumberFormat="1" applyFont="1" applyFill="1" applyBorder="1" applyAlignment="1">
      <alignment horizontal="right" vertical="center"/>
    </xf>
    <xf numFmtId="43" fontId="11" fillId="3" borderId="2" xfId="1" applyNumberFormat="1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 wrapText="1"/>
    </xf>
    <xf numFmtId="0" fontId="9" fillId="0" borderId="2" xfId="51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43" fontId="10" fillId="5" borderId="2" xfId="1" applyNumberFormat="1" applyFont="1" applyFill="1" applyBorder="1" applyAlignment="1">
      <alignment horizontal="right" vertical="center"/>
    </xf>
    <xf numFmtId="43" fontId="9" fillId="5" borderId="2" xfId="1" applyNumberFormat="1" applyFont="1" applyFill="1" applyBorder="1" applyAlignment="1">
      <alignment horizontal="right" vertical="center"/>
    </xf>
    <xf numFmtId="177" fontId="2" fillId="2" borderId="2" xfId="0" applyNumberFormat="1" applyFont="1" applyFill="1" applyBorder="1" applyAlignment="1">
      <alignment horizontal="right" vertical="center"/>
    </xf>
    <xf numFmtId="177" fontId="1" fillId="2" borderId="2" xfId="0" applyNumberFormat="1" applyFont="1" applyFill="1" applyBorder="1" applyAlignment="1">
      <alignment horizontal="right" vertical="center"/>
    </xf>
    <xf numFmtId="0" fontId="9" fillId="0" borderId="2" xfId="0" applyFont="1" applyFill="1" applyBorder="1" applyAlignment="1">
      <alignment vertical="center" wrapText="1"/>
    </xf>
    <xf numFmtId="0" fontId="1" fillId="0" borderId="2" xfId="50" applyFont="1" applyBorder="1" applyAlignment="1">
      <alignment horizontal="center" vertical="center"/>
    </xf>
    <xf numFmtId="0" fontId="9" fillId="0" borderId="2" xfId="50" applyFont="1" applyBorder="1" applyAlignment="1">
      <alignment vertical="center"/>
    </xf>
    <xf numFmtId="0" fontId="9" fillId="0" borderId="2" xfId="50" applyFont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177" fontId="2" fillId="6" borderId="2" xfId="0" applyNumberFormat="1" applyFont="1" applyFill="1" applyBorder="1" applyAlignment="1">
      <alignment horizontal="right" vertical="center"/>
    </xf>
    <xf numFmtId="177" fontId="3" fillId="6" borderId="2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2" fillId="5" borderId="4" xfId="0" applyNumberFormat="1" applyFont="1" applyFill="1" applyBorder="1" applyAlignment="1">
      <alignment horizontal="right" vertical="center"/>
    </xf>
    <xf numFmtId="177" fontId="3" fillId="5" borderId="4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177" fontId="3" fillId="0" borderId="3" xfId="0" applyNumberFormat="1" applyFont="1" applyFill="1" applyBorder="1" applyAlignment="1">
      <alignment horizontal="right" vertical="center"/>
    </xf>
    <xf numFmtId="177" fontId="2" fillId="0" borderId="3" xfId="0" applyNumberFormat="1" applyFont="1" applyFill="1" applyBorder="1" applyAlignment="1">
      <alignment horizontal="righ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资本充足率汇总表-0223" xfId="49"/>
    <cellStyle name="常规_2011年监管指标计算" xfId="50"/>
    <cellStyle name="常规_浙银监办(2011)48号附件1-2（合作机构三年规划附表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J107"/>
  <sheetViews>
    <sheetView tabSelected="1" zoomScale="115" zoomScaleNormal="115" zoomScaleSheetLayoutView="60" workbookViewId="0">
      <pane xSplit="2" ySplit="2" topLeftCell="C11" activePane="bottomRight" state="frozen"/>
      <selection/>
      <selection pane="topRight"/>
      <selection pane="bottomLeft"/>
      <selection pane="bottomRight" activeCell="L16" sqref="L16"/>
    </sheetView>
  </sheetViews>
  <sheetFormatPr defaultColWidth="9.81818181818182" defaultRowHeight="18.75" customHeight="1"/>
  <cols>
    <col min="1" max="1" width="5.12727272727273" style="2" customWidth="1"/>
    <col min="2" max="2" width="26.6181818181818" style="2" customWidth="1"/>
    <col min="3" max="6" width="14.9454545454545" style="4" customWidth="1"/>
    <col min="7" max="7" width="14.9454545454545" style="5" customWidth="1"/>
    <col min="8" max="10" width="14.9454545454545" style="4" customWidth="1"/>
    <col min="11" max="16329" width="9.81818181818182" style="2"/>
    <col min="16330" max="16384" width="9.81818181818182" style="6"/>
  </cols>
  <sheetData>
    <row r="1" customHeight="1" spans="1:10">
      <c r="A1" s="7" t="s">
        <v>0</v>
      </c>
      <c r="B1" s="7"/>
      <c r="C1" s="8"/>
      <c r="D1" s="8"/>
      <c r="E1" s="8"/>
      <c r="F1" s="8"/>
      <c r="G1" s="9"/>
      <c r="H1" s="8"/>
      <c r="I1" s="8"/>
      <c r="J1" s="8"/>
    </row>
    <row r="2" s="1" customFormat="1" ht="30" customHeight="1" spans="1:10">
      <c r="A2" s="10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H2" s="11" t="s">
        <v>8</v>
      </c>
      <c r="I2" s="11" t="s">
        <v>9</v>
      </c>
      <c r="J2" s="11" t="s">
        <v>10</v>
      </c>
    </row>
    <row r="3" hidden="1" customHeight="1" spans="1:10">
      <c r="A3" s="13">
        <v>1</v>
      </c>
      <c r="B3" s="14" t="s">
        <v>11</v>
      </c>
      <c r="C3" s="15"/>
      <c r="D3" s="15"/>
      <c r="E3" s="15"/>
      <c r="F3" s="15"/>
      <c r="G3" s="16"/>
      <c r="H3" s="15"/>
      <c r="I3" s="15"/>
      <c r="J3" s="15"/>
    </row>
    <row r="4" hidden="1" customHeight="1" spans="1:10">
      <c r="A4" s="13"/>
      <c r="B4" s="17" t="s">
        <v>12</v>
      </c>
      <c r="C4" s="15"/>
      <c r="D4" s="15"/>
      <c r="E4" s="15"/>
      <c r="F4" s="15"/>
      <c r="G4" s="16"/>
      <c r="H4" s="15"/>
      <c r="I4" s="15"/>
      <c r="J4" s="15"/>
    </row>
    <row r="5" hidden="1" customHeight="1" spans="1:10">
      <c r="A5" s="13"/>
      <c r="B5" s="17" t="s">
        <v>13</v>
      </c>
      <c r="C5" s="15"/>
      <c r="D5" s="15"/>
      <c r="E5" s="15"/>
      <c r="F5" s="15"/>
      <c r="G5" s="16"/>
      <c r="H5" s="15"/>
      <c r="I5" s="15"/>
      <c r="J5" s="15"/>
    </row>
    <row r="6" hidden="1" customHeight="1" spans="1:10">
      <c r="A6" s="13">
        <v>2</v>
      </c>
      <c r="B6" s="14" t="s">
        <v>14</v>
      </c>
      <c r="C6" s="15"/>
      <c r="D6" s="15"/>
      <c r="E6" s="15"/>
      <c r="F6" s="15"/>
      <c r="G6" s="16"/>
      <c r="H6" s="15"/>
      <c r="I6" s="15"/>
      <c r="J6" s="15"/>
    </row>
    <row r="7" hidden="1" customHeight="1" spans="1:10">
      <c r="A7" s="13"/>
      <c r="B7" s="17" t="s">
        <v>12</v>
      </c>
      <c r="C7" s="15"/>
      <c r="D7" s="15"/>
      <c r="E7" s="15"/>
      <c r="F7" s="15"/>
      <c r="G7" s="16"/>
      <c r="H7" s="15"/>
      <c r="I7" s="15"/>
      <c r="J7" s="15"/>
    </row>
    <row r="8" hidden="1" customHeight="1" spans="1:10">
      <c r="A8" s="13"/>
      <c r="B8" s="17" t="s">
        <v>15</v>
      </c>
      <c r="C8" s="15"/>
      <c r="D8" s="15"/>
      <c r="E8" s="15"/>
      <c r="F8" s="15"/>
      <c r="G8" s="16"/>
      <c r="H8" s="15"/>
      <c r="I8" s="15"/>
      <c r="J8" s="15"/>
    </row>
    <row r="9" customHeight="1" spans="1:10">
      <c r="A9" s="13">
        <v>3</v>
      </c>
      <c r="B9" s="17" t="s">
        <v>16</v>
      </c>
      <c r="C9" s="15">
        <v>993679.23</v>
      </c>
      <c r="D9" s="15">
        <v>1030670.33</v>
      </c>
      <c r="E9" s="15">
        <v>1062914.8</v>
      </c>
      <c r="F9" s="15">
        <v>1098097.91</v>
      </c>
      <c r="G9" s="16">
        <v>1084055.82</v>
      </c>
      <c r="H9" s="15">
        <v>1139271.14</v>
      </c>
      <c r="I9" s="15">
        <v>1115029.74</v>
      </c>
      <c r="J9" s="18">
        <v>1141033.49</v>
      </c>
    </row>
    <row r="10" customHeight="1" spans="1:10">
      <c r="A10" s="13"/>
      <c r="B10" s="17" t="s">
        <v>17</v>
      </c>
      <c r="C10" s="15">
        <v>12749603.24</v>
      </c>
      <c r="D10" s="15">
        <v>13258960.9</v>
      </c>
      <c r="E10" s="15">
        <v>13228725.15</v>
      </c>
      <c r="F10" s="15">
        <v>14077262.25</v>
      </c>
      <c r="G10" s="16">
        <v>14586722.34</v>
      </c>
      <c r="H10" s="15">
        <v>14616479.45</v>
      </c>
      <c r="I10" s="15">
        <v>15582466.247</v>
      </c>
      <c r="J10" s="18">
        <v>15896572.24</v>
      </c>
    </row>
    <row r="11" customHeight="1" spans="1:10">
      <c r="A11" s="13"/>
      <c r="B11" s="17" t="s">
        <v>18</v>
      </c>
      <c r="C11" s="19">
        <f t="shared" ref="C11:J11" si="0">C9/C10*100</f>
        <v>7.79380511922503</v>
      </c>
      <c r="D11" s="19">
        <f t="shared" si="0"/>
        <v>7.77338690243818</v>
      </c>
      <c r="E11" s="19">
        <f t="shared" si="0"/>
        <v>8.03489971972092</v>
      </c>
      <c r="F11" s="19">
        <f t="shared" si="0"/>
        <v>7.80050758804326</v>
      </c>
      <c r="G11" s="20">
        <f t="shared" si="0"/>
        <v>7.43179855441055</v>
      </c>
      <c r="H11" s="19">
        <f t="shared" si="0"/>
        <v>7.79442918451885</v>
      </c>
      <c r="I11" s="19">
        <f t="shared" si="0"/>
        <v>7.15566921388115</v>
      </c>
      <c r="J11" s="19">
        <f t="shared" si="0"/>
        <v>7.17785867779002</v>
      </c>
    </row>
    <row r="12" customHeight="1" spans="1:10">
      <c r="A12" s="13">
        <v>4</v>
      </c>
      <c r="B12" s="17" t="s">
        <v>19</v>
      </c>
      <c r="C12" s="21">
        <v>59679.07</v>
      </c>
      <c r="D12" s="21">
        <v>57377.92</v>
      </c>
      <c r="E12" s="21">
        <v>61528.47</v>
      </c>
      <c r="F12" s="21">
        <v>61231.02</v>
      </c>
      <c r="G12" s="22">
        <v>71948.61</v>
      </c>
      <c r="H12" s="21">
        <v>76461.77</v>
      </c>
      <c r="I12" s="21">
        <v>79482.33</v>
      </c>
      <c r="J12" s="21">
        <v>82570</v>
      </c>
    </row>
    <row r="13" customHeight="1" spans="1:10">
      <c r="A13" s="13"/>
      <c r="B13" s="17" t="s">
        <v>20</v>
      </c>
      <c r="C13" s="21">
        <v>8882755.19</v>
      </c>
      <c r="D13" s="21">
        <v>9160633.9</v>
      </c>
      <c r="E13" s="21">
        <v>9350562.97</v>
      </c>
      <c r="F13" s="21">
        <v>9725456.12</v>
      </c>
      <c r="G13" s="22">
        <v>9966796.3</v>
      </c>
      <c r="H13" s="21">
        <v>10012703.07</v>
      </c>
      <c r="I13" s="21">
        <v>10331485.78</v>
      </c>
      <c r="J13" s="21">
        <v>10779969.06</v>
      </c>
    </row>
    <row r="14" customHeight="1" spans="1:10">
      <c r="A14" s="13"/>
      <c r="B14" s="17" t="s">
        <v>21</v>
      </c>
      <c r="C14" s="19">
        <f t="shared" ref="C14:J14" si="1">C12/C13*100</f>
        <v>0.671853143799182</v>
      </c>
      <c r="D14" s="19">
        <f t="shared" si="1"/>
        <v>0.626353160996861</v>
      </c>
      <c r="E14" s="19">
        <f t="shared" si="1"/>
        <v>0.658018882899411</v>
      </c>
      <c r="F14" s="19">
        <f t="shared" si="1"/>
        <v>0.629595355163661</v>
      </c>
      <c r="G14" s="20">
        <f t="shared" si="1"/>
        <v>0.721883018718864</v>
      </c>
      <c r="H14" s="19">
        <f t="shared" si="1"/>
        <v>0.763647633066183</v>
      </c>
      <c r="I14" s="19">
        <f t="shared" si="1"/>
        <v>0.769321389899837</v>
      </c>
      <c r="J14" s="19">
        <f t="shared" si="1"/>
        <v>0.765957671496322</v>
      </c>
    </row>
    <row r="15" customHeight="1" spans="1:10">
      <c r="A15" s="13">
        <v>5</v>
      </c>
      <c r="B15" s="17" t="s">
        <v>22</v>
      </c>
      <c r="C15" s="21">
        <v>60484.17</v>
      </c>
      <c r="D15" s="21">
        <v>58439.77</v>
      </c>
      <c r="E15" s="21">
        <v>62674.2</v>
      </c>
      <c r="F15" s="21">
        <v>62462.72</v>
      </c>
      <c r="G15" s="22">
        <v>86853.49</v>
      </c>
      <c r="H15" s="21">
        <v>77911.54</v>
      </c>
      <c r="I15" s="21">
        <v>80744.2</v>
      </c>
      <c r="J15" s="21">
        <v>83640.44</v>
      </c>
    </row>
    <row r="16" s="2" customFormat="1" customHeight="1" spans="1:10">
      <c r="A16" s="13"/>
      <c r="B16" s="23" t="s">
        <v>23</v>
      </c>
      <c r="C16" s="21">
        <v>13035080.22</v>
      </c>
      <c r="D16" s="21">
        <v>13617815.39</v>
      </c>
      <c r="E16" s="21">
        <v>13598700</v>
      </c>
      <c r="F16" s="21">
        <v>14543637.87</v>
      </c>
      <c r="G16" s="22">
        <v>15002103.57</v>
      </c>
      <c r="H16" s="21">
        <v>15020356.67</v>
      </c>
      <c r="I16" s="21">
        <v>16036698.6</v>
      </c>
      <c r="J16" s="21">
        <v>16333545.35</v>
      </c>
    </row>
    <row r="17" customHeight="1" spans="1:10">
      <c r="A17" s="13"/>
      <c r="B17" s="17" t="s">
        <v>24</v>
      </c>
      <c r="C17" s="24">
        <f t="shared" ref="C17:J17" si="2">C15/C16*100</f>
        <v>0.464010723211337</v>
      </c>
      <c r="D17" s="24">
        <f t="shared" si="2"/>
        <v>0.429142034359742</v>
      </c>
      <c r="E17" s="24">
        <f t="shared" si="2"/>
        <v>0.460883760947738</v>
      </c>
      <c r="F17" s="24">
        <f t="shared" si="2"/>
        <v>0.429484841126617</v>
      </c>
      <c r="G17" s="25">
        <f t="shared" si="2"/>
        <v>0.578942076987674</v>
      </c>
      <c r="H17" s="24">
        <f t="shared" si="2"/>
        <v>0.518706324435104</v>
      </c>
      <c r="I17" s="24">
        <f t="shared" si="2"/>
        <v>0.503496399190292</v>
      </c>
      <c r="J17" s="24">
        <f t="shared" si="2"/>
        <v>0.512077679448816</v>
      </c>
    </row>
    <row r="18" ht="35" customHeight="1" spans="1:10">
      <c r="A18" s="13">
        <v>6</v>
      </c>
      <c r="B18" s="26" t="s">
        <v>25</v>
      </c>
      <c r="C18" s="21">
        <v>110020</v>
      </c>
      <c r="D18" s="21">
        <v>107660</v>
      </c>
      <c r="E18" s="21">
        <v>107380</v>
      </c>
      <c r="F18" s="21">
        <v>107180</v>
      </c>
      <c r="G18" s="22">
        <v>107180</v>
      </c>
      <c r="H18" s="21">
        <v>112180</v>
      </c>
      <c r="I18" s="21">
        <v>114771.6</v>
      </c>
      <c r="J18" s="21">
        <v>111980</v>
      </c>
    </row>
    <row r="19" customHeight="1" spans="1:10">
      <c r="A19" s="13"/>
      <c r="B19" s="14" t="s">
        <v>11</v>
      </c>
      <c r="C19" s="21">
        <v>1095175.89625125</v>
      </c>
      <c r="D19" s="21">
        <v>1136035.69</v>
      </c>
      <c r="E19" s="21">
        <v>1170291.77</v>
      </c>
      <c r="F19" s="21">
        <v>1207180.38</v>
      </c>
      <c r="G19" s="22">
        <v>1196088.2</v>
      </c>
      <c r="H19" s="21">
        <v>1253648.63</v>
      </c>
      <c r="I19" s="21">
        <v>1232530.33</v>
      </c>
      <c r="J19" s="21">
        <v>1256680.88</v>
      </c>
    </row>
    <row r="20" customHeight="1" spans="1:10">
      <c r="A20" s="13"/>
      <c r="B20" s="27" t="s">
        <v>26</v>
      </c>
      <c r="C20" s="24">
        <f t="shared" ref="C20:J20" si="3">C18/C19*100</f>
        <v>10.0458748568695</v>
      </c>
      <c r="D20" s="24">
        <f t="shared" si="3"/>
        <v>9.47681494055878</v>
      </c>
      <c r="E20" s="24">
        <f t="shared" si="3"/>
        <v>9.17548963024836</v>
      </c>
      <c r="F20" s="24">
        <f t="shared" si="3"/>
        <v>8.87854058728158</v>
      </c>
      <c r="G20" s="25">
        <f t="shared" si="3"/>
        <v>8.9608776342748</v>
      </c>
      <c r="H20" s="24">
        <f t="shared" si="3"/>
        <v>8.94828082730007</v>
      </c>
      <c r="I20" s="24">
        <f t="shared" si="3"/>
        <v>9.31186821179484</v>
      </c>
      <c r="J20" s="24">
        <f t="shared" si="3"/>
        <v>8.91077454763217</v>
      </c>
    </row>
    <row r="21" customHeight="1" spans="1:10">
      <c r="A21" s="13">
        <v>7</v>
      </c>
      <c r="B21" s="26" t="s">
        <v>27</v>
      </c>
      <c r="C21" s="21">
        <v>75430.66</v>
      </c>
      <c r="D21" s="21">
        <v>76561.21</v>
      </c>
      <c r="E21" s="21">
        <v>76561.21</v>
      </c>
      <c r="F21" s="21">
        <v>76599.21</v>
      </c>
      <c r="G21" s="22">
        <v>78206.6</v>
      </c>
      <c r="H21" s="21">
        <v>78008.6</v>
      </c>
      <c r="I21" s="21">
        <v>98008.6</v>
      </c>
      <c r="J21" s="21">
        <v>55344.52</v>
      </c>
    </row>
    <row r="22" customHeight="1" spans="1:10">
      <c r="A22" s="13"/>
      <c r="B22" s="14" t="s">
        <v>11</v>
      </c>
      <c r="C22" s="21">
        <f t="shared" ref="C22:J22" si="4">C19</f>
        <v>1095175.89625125</v>
      </c>
      <c r="D22" s="21">
        <f t="shared" si="4"/>
        <v>1136035.69</v>
      </c>
      <c r="E22" s="21">
        <f t="shared" si="4"/>
        <v>1170291.77</v>
      </c>
      <c r="F22" s="21">
        <f t="shared" si="4"/>
        <v>1207180.38</v>
      </c>
      <c r="G22" s="22">
        <f t="shared" si="4"/>
        <v>1196088.2</v>
      </c>
      <c r="H22" s="21">
        <f t="shared" si="4"/>
        <v>1253648.63</v>
      </c>
      <c r="I22" s="21">
        <f t="shared" si="4"/>
        <v>1232530.33</v>
      </c>
      <c r="J22" s="21">
        <f t="shared" si="4"/>
        <v>1256680.88</v>
      </c>
    </row>
    <row r="23" customHeight="1" spans="1:10">
      <c r="A23" s="13"/>
      <c r="B23" s="27" t="s">
        <v>28</v>
      </c>
      <c r="C23" s="24">
        <f t="shared" ref="C23:J23" si="5">C21/C22*100</f>
        <v>6.88753836330736</v>
      </c>
      <c r="D23" s="24">
        <f t="shared" si="5"/>
        <v>6.73933140251958</v>
      </c>
      <c r="E23" s="24">
        <f t="shared" si="5"/>
        <v>6.54206172876017</v>
      </c>
      <c r="F23" s="24">
        <f t="shared" si="5"/>
        <v>6.34529944895228</v>
      </c>
      <c r="G23" s="25">
        <f t="shared" si="5"/>
        <v>6.53853118858626</v>
      </c>
      <c r="H23" s="24">
        <f t="shared" si="5"/>
        <v>6.22252504675094</v>
      </c>
      <c r="I23" s="24">
        <f t="shared" si="5"/>
        <v>7.95182054465142</v>
      </c>
      <c r="J23" s="24">
        <f t="shared" si="5"/>
        <v>4.40402339852581</v>
      </c>
    </row>
    <row r="24" customHeight="1" spans="1:10">
      <c r="A24" s="13">
        <v>8</v>
      </c>
      <c r="B24" s="27" t="s">
        <v>29</v>
      </c>
      <c r="C24" s="21">
        <v>517239.92</v>
      </c>
      <c r="D24" s="21">
        <v>522185.53</v>
      </c>
      <c r="E24" s="21">
        <v>524924.53</v>
      </c>
      <c r="F24" s="21">
        <v>480049.61</v>
      </c>
      <c r="G24" s="22">
        <v>496126.29</v>
      </c>
      <c r="H24" s="21">
        <v>509813.26</v>
      </c>
      <c r="I24" s="21">
        <v>513079.95</v>
      </c>
      <c r="J24" s="21">
        <v>472663.22</v>
      </c>
    </row>
    <row r="25" customHeight="1" spans="1:10">
      <c r="A25" s="13"/>
      <c r="B25" s="14" t="s">
        <v>11</v>
      </c>
      <c r="C25" s="21">
        <f t="shared" ref="C25:J25" si="6">C19</f>
        <v>1095175.89625125</v>
      </c>
      <c r="D25" s="21">
        <f t="shared" si="6"/>
        <v>1136035.69</v>
      </c>
      <c r="E25" s="21">
        <f t="shared" si="6"/>
        <v>1170291.77</v>
      </c>
      <c r="F25" s="21">
        <f t="shared" si="6"/>
        <v>1207180.38</v>
      </c>
      <c r="G25" s="22">
        <f t="shared" si="6"/>
        <v>1196088.2</v>
      </c>
      <c r="H25" s="21">
        <f t="shared" si="6"/>
        <v>1253648.63</v>
      </c>
      <c r="I25" s="21">
        <f t="shared" si="6"/>
        <v>1232530.33</v>
      </c>
      <c r="J25" s="21">
        <f t="shared" si="6"/>
        <v>1256680.88</v>
      </c>
    </row>
    <row r="26" customHeight="1" spans="1:10">
      <c r="A26" s="13"/>
      <c r="B26" s="27" t="s">
        <v>30</v>
      </c>
      <c r="C26" s="24">
        <f t="shared" ref="C26:J26" si="7">C24/C25*100</f>
        <v>47.2289357143902</v>
      </c>
      <c r="D26" s="24">
        <f t="shared" si="7"/>
        <v>45.9655919788929</v>
      </c>
      <c r="E26" s="24">
        <f t="shared" si="7"/>
        <v>44.85415889065</v>
      </c>
      <c r="F26" s="24">
        <f t="shared" si="7"/>
        <v>39.7661872205047</v>
      </c>
      <c r="G26" s="25">
        <f t="shared" si="7"/>
        <v>41.4790723627237</v>
      </c>
      <c r="H26" s="24">
        <f t="shared" si="7"/>
        <v>40.6663596002973</v>
      </c>
      <c r="I26" s="24">
        <f t="shared" si="7"/>
        <v>41.6281804602731</v>
      </c>
      <c r="J26" s="24">
        <f t="shared" si="7"/>
        <v>37.6120324198774</v>
      </c>
    </row>
    <row r="27" customHeight="1" spans="1:10">
      <c r="A27" s="28" t="s">
        <v>31</v>
      </c>
      <c r="B27" s="27" t="s">
        <v>32</v>
      </c>
      <c r="C27" s="21">
        <v>408952.04</v>
      </c>
      <c r="D27" s="21">
        <v>419571.9</v>
      </c>
      <c r="E27" s="21">
        <v>425708.52</v>
      </c>
      <c r="F27" s="21">
        <v>439897</v>
      </c>
      <c r="G27" s="22">
        <v>466738.08</v>
      </c>
      <c r="H27" s="21">
        <v>472262.33</v>
      </c>
      <c r="I27" s="21">
        <v>473196.31</v>
      </c>
      <c r="J27" s="21">
        <v>489095.67</v>
      </c>
    </row>
    <row r="28" ht="18" customHeight="1" spans="1:10">
      <c r="A28" s="28"/>
      <c r="B28" s="27" t="s">
        <v>33</v>
      </c>
      <c r="C28" s="21">
        <v>40952.5</v>
      </c>
      <c r="D28" s="21">
        <v>36203.21</v>
      </c>
      <c r="E28" s="21">
        <v>40517.97</v>
      </c>
      <c r="F28" s="21">
        <v>35035.9</v>
      </c>
      <c r="G28" s="22">
        <v>43559.58</v>
      </c>
      <c r="H28" s="21">
        <v>48060.15</v>
      </c>
      <c r="I28" s="21">
        <v>48288.72</v>
      </c>
      <c r="J28" s="21">
        <v>49535.83</v>
      </c>
    </row>
    <row r="29" customHeight="1" spans="1:10">
      <c r="A29" s="28"/>
      <c r="B29" s="27" t="s">
        <v>34</v>
      </c>
      <c r="C29" s="24">
        <f t="shared" ref="C29:J29" si="8">C27/C28*100</f>
        <v>998.600915695013</v>
      </c>
      <c r="D29" s="24">
        <f t="shared" si="8"/>
        <v>1158.93563029356</v>
      </c>
      <c r="E29" s="24">
        <f t="shared" si="8"/>
        <v>1050.66596376867</v>
      </c>
      <c r="F29" s="24">
        <f t="shared" si="8"/>
        <v>1255.5607248565</v>
      </c>
      <c r="G29" s="25">
        <f t="shared" si="8"/>
        <v>1071.49352679709</v>
      </c>
      <c r="H29" s="24">
        <f t="shared" si="8"/>
        <v>982.64847279919</v>
      </c>
      <c r="I29" s="24">
        <f t="shared" si="8"/>
        <v>979.931358710689</v>
      </c>
      <c r="J29" s="24">
        <f t="shared" si="8"/>
        <v>987.357373440598</v>
      </c>
    </row>
    <row r="30" customHeight="1" spans="1:10">
      <c r="A30" s="28" t="s">
        <v>35</v>
      </c>
      <c r="B30" s="27" t="s">
        <v>32</v>
      </c>
      <c r="C30" s="21">
        <f t="shared" ref="C30:J30" si="9">C27</f>
        <v>408952.04</v>
      </c>
      <c r="D30" s="21">
        <f t="shared" si="9"/>
        <v>419571.9</v>
      </c>
      <c r="E30" s="21">
        <f t="shared" si="9"/>
        <v>425708.52</v>
      </c>
      <c r="F30" s="21">
        <f t="shared" si="9"/>
        <v>439897</v>
      </c>
      <c r="G30" s="22">
        <f t="shared" si="9"/>
        <v>466738.08</v>
      </c>
      <c r="H30" s="21">
        <f t="shared" si="9"/>
        <v>472262.33</v>
      </c>
      <c r="I30" s="21">
        <f t="shared" si="9"/>
        <v>473196.31</v>
      </c>
      <c r="J30" s="21">
        <f t="shared" si="9"/>
        <v>489095.67</v>
      </c>
    </row>
    <row r="31" customHeight="1" spans="1:10">
      <c r="A31" s="28"/>
      <c r="B31" s="27" t="s">
        <v>33</v>
      </c>
      <c r="C31" s="21">
        <v>38060.82</v>
      </c>
      <c r="D31" s="21">
        <v>33372.72</v>
      </c>
      <c r="E31" s="21">
        <v>37425.05</v>
      </c>
      <c r="F31" s="21">
        <v>31662.87</v>
      </c>
      <c r="G31" s="22">
        <v>39496.67</v>
      </c>
      <c r="H31" s="21">
        <v>43967.5</v>
      </c>
      <c r="I31" s="21">
        <v>43957.04</v>
      </c>
      <c r="J31" s="21">
        <v>44722.02</v>
      </c>
    </row>
    <row r="32" customHeight="1" spans="1:10">
      <c r="A32" s="28"/>
      <c r="B32" s="27" t="s">
        <v>34</v>
      </c>
      <c r="C32" s="24">
        <f t="shared" ref="C32:J32" si="10">C30/C31*100</f>
        <v>1074.46986165826</v>
      </c>
      <c r="D32" s="24">
        <f t="shared" si="10"/>
        <v>1257.23015684667</v>
      </c>
      <c r="E32" s="24">
        <f t="shared" si="10"/>
        <v>1137.49619572987</v>
      </c>
      <c r="F32" s="24">
        <f t="shared" si="10"/>
        <v>1389.31499260806</v>
      </c>
      <c r="G32" s="25">
        <f t="shared" si="10"/>
        <v>1181.71501546839</v>
      </c>
      <c r="H32" s="24">
        <f t="shared" si="10"/>
        <v>1074.11685904361</v>
      </c>
      <c r="I32" s="24">
        <f t="shared" si="10"/>
        <v>1076.49721182318</v>
      </c>
      <c r="J32" s="24">
        <f t="shared" si="10"/>
        <v>1093.63501469746</v>
      </c>
    </row>
    <row r="33" customHeight="1" spans="1:10">
      <c r="A33" s="28" t="s">
        <v>36</v>
      </c>
      <c r="B33" s="27" t="s">
        <v>37</v>
      </c>
      <c r="C33" s="21">
        <v>431877.91</v>
      </c>
      <c r="D33" s="21">
        <v>442353.55</v>
      </c>
      <c r="E33" s="21">
        <v>448313.77</v>
      </c>
      <c r="F33" s="21">
        <v>462352.85</v>
      </c>
      <c r="G33" s="22">
        <v>489132.48</v>
      </c>
      <c r="H33" s="21">
        <v>492078.65</v>
      </c>
      <c r="I33" s="21">
        <v>492358.09</v>
      </c>
      <c r="J33" s="21">
        <v>504966.24</v>
      </c>
    </row>
    <row r="34" customHeight="1" spans="1:10">
      <c r="A34" s="28"/>
      <c r="B34" s="27" t="s">
        <v>38</v>
      </c>
      <c r="C34" s="21">
        <v>41584.38</v>
      </c>
      <c r="D34" s="21">
        <v>37065.28</v>
      </c>
      <c r="E34" s="21">
        <v>41458.49</v>
      </c>
      <c r="F34" s="21">
        <v>36430.01</v>
      </c>
      <c r="G34" s="22">
        <v>48667.55</v>
      </c>
      <c r="H34" s="21">
        <v>49180.55</v>
      </c>
      <c r="I34" s="21">
        <v>45087.14</v>
      </c>
      <c r="J34" s="21">
        <v>50300.76</v>
      </c>
    </row>
    <row r="35" customHeight="1" spans="1:10">
      <c r="A35" s="28"/>
      <c r="B35" s="27" t="s">
        <v>39</v>
      </c>
      <c r="C35" s="24">
        <f t="shared" ref="C35:J35" si="11">C33/C34*100</f>
        <v>1038.55801144564</v>
      </c>
      <c r="D35" s="24">
        <f t="shared" si="11"/>
        <v>1193.44451195297</v>
      </c>
      <c r="E35" s="24">
        <f t="shared" si="11"/>
        <v>1081.35576090687</v>
      </c>
      <c r="F35" s="24">
        <f t="shared" si="11"/>
        <v>1269.15378282905</v>
      </c>
      <c r="G35" s="25">
        <f t="shared" si="11"/>
        <v>1005.04849740741</v>
      </c>
      <c r="H35" s="24">
        <f t="shared" si="11"/>
        <v>1000.55540249143</v>
      </c>
      <c r="I35" s="24">
        <f t="shared" si="11"/>
        <v>1092.0144635477</v>
      </c>
      <c r="J35" s="24">
        <f t="shared" si="11"/>
        <v>1003.89385766736</v>
      </c>
    </row>
    <row r="36" s="2" customFormat="1" customHeight="1" spans="1:10">
      <c r="A36" s="28" t="s">
        <v>35</v>
      </c>
      <c r="B36" s="27" t="s">
        <v>37</v>
      </c>
      <c r="C36" s="21">
        <f t="shared" ref="C36:J36" si="12">C33</f>
        <v>431877.91</v>
      </c>
      <c r="D36" s="21">
        <f t="shared" si="12"/>
        <v>442353.55</v>
      </c>
      <c r="E36" s="21">
        <f t="shared" si="12"/>
        <v>448313.77</v>
      </c>
      <c r="F36" s="21">
        <f t="shared" si="12"/>
        <v>462352.85</v>
      </c>
      <c r="G36" s="22">
        <f t="shared" si="12"/>
        <v>489132.48</v>
      </c>
      <c r="H36" s="21">
        <f t="shared" si="12"/>
        <v>492078.65</v>
      </c>
      <c r="I36" s="21">
        <f t="shared" si="12"/>
        <v>492358.09</v>
      </c>
      <c r="J36" s="21">
        <f t="shared" si="12"/>
        <v>504966.24</v>
      </c>
    </row>
    <row r="37" customHeight="1" spans="1:10">
      <c r="A37" s="28"/>
      <c r="B37" s="27" t="s">
        <v>38</v>
      </c>
      <c r="C37" s="21">
        <v>38675.4</v>
      </c>
      <c r="D37" s="21">
        <v>34216.42</v>
      </c>
      <c r="E37" s="21">
        <v>38345.66</v>
      </c>
      <c r="F37" s="21">
        <v>32900.07</v>
      </c>
      <c r="G37" s="22">
        <v>43897.6</v>
      </c>
      <c r="H37" s="21">
        <v>45053.61</v>
      </c>
      <c r="I37" s="21">
        <v>44944.52</v>
      </c>
      <c r="J37" s="21">
        <v>45447.81</v>
      </c>
    </row>
    <row r="38" customHeight="1" spans="1:10">
      <c r="A38" s="28"/>
      <c r="B38" s="27" t="s">
        <v>39</v>
      </c>
      <c r="C38" s="24">
        <f t="shared" ref="C38:J38" si="13">C36/C37*100</f>
        <v>1116.67341514244</v>
      </c>
      <c r="D38" s="24">
        <f t="shared" si="13"/>
        <v>1292.81073239106</v>
      </c>
      <c r="E38" s="24">
        <f t="shared" si="13"/>
        <v>1169.13822842011</v>
      </c>
      <c r="F38" s="24">
        <f t="shared" si="13"/>
        <v>1405.32482149734</v>
      </c>
      <c r="G38" s="25">
        <f t="shared" si="13"/>
        <v>1114.25790931623</v>
      </c>
      <c r="H38" s="24">
        <f t="shared" si="13"/>
        <v>1092.20692859018</v>
      </c>
      <c r="I38" s="24">
        <f t="shared" si="13"/>
        <v>1095.47969363117</v>
      </c>
      <c r="J38" s="24">
        <f t="shared" si="13"/>
        <v>1111.09036937093</v>
      </c>
    </row>
    <row r="39" customHeight="1" spans="1:10">
      <c r="A39" s="13">
        <v>11</v>
      </c>
      <c r="B39" s="27" t="s">
        <v>40</v>
      </c>
      <c r="C39" s="21">
        <f t="shared" ref="C39:J39" si="14">C30</f>
        <v>408952.04</v>
      </c>
      <c r="D39" s="21">
        <f t="shared" si="14"/>
        <v>419571.9</v>
      </c>
      <c r="E39" s="21">
        <f t="shared" si="14"/>
        <v>425708.52</v>
      </c>
      <c r="F39" s="21">
        <f t="shared" si="14"/>
        <v>439897</v>
      </c>
      <c r="G39" s="22">
        <f t="shared" si="14"/>
        <v>466738.08</v>
      </c>
      <c r="H39" s="21">
        <f t="shared" si="14"/>
        <v>472262.33</v>
      </c>
      <c r="I39" s="21">
        <f t="shared" si="14"/>
        <v>473196.31</v>
      </c>
      <c r="J39" s="21">
        <f t="shared" si="14"/>
        <v>489095.67</v>
      </c>
    </row>
    <row r="40" customHeight="1" spans="1:10">
      <c r="A40" s="13"/>
      <c r="B40" s="27" t="s">
        <v>19</v>
      </c>
      <c r="C40" s="21">
        <f t="shared" ref="C40:J40" si="15">C12</f>
        <v>59679.07</v>
      </c>
      <c r="D40" s="21">
        <f t="shared" si="15"/>
        <v>57377.92</v>
      </c>
      <c r="E40" s="21">
        <f t="shared" si="15"/>
        <v>61528.47</v>
      </c>
      <c r="F40" s="21">
        <f t="shared" si="15"/>
        <v>61231.02</v>
      </c>
      <c r="G40" s="22">
        <f t="shared" si="15"/>
        <v>71948.61</v>
      </c>
      <c r="H40" s="21">
        <f t="shared" si="15"/>
        <v>76461.77</v>
      </c>
      <c r="I40" s="21">
        <f t="shared" si="15"/>
        <v>79482.33</v>
      </c>
      <c r="J40" s="21">
        <f t="shared" si="15"/>
        <v>82570</v>
      </c>
    </row>
    <row r="41" customHeight="1" spans="1:10">
      <c r="A41" s="13"/>
      <c r="B41" s="27" t="s">
        <v>41</v>
      </c>
      <c r="C41" s="24">
        <f t="shared" ref="C41:J41" si="16">C39/C40*100</f>
        <v>685.252032245141</v>
      </c>
      <c r="D41" s="24">
        <f t="shared" si="16"/>
        <v>731.242784680937</v>
      </c>
      <c r="E41" s="24">
        <f t="shared" si="16"/>
        <v>691.888681776095</v>
      </c>
      <c r="F41" s="24">
        <f t="shared" si="16"/>
        <v>718.421806463456</v>
      </c>
      <c r="G41" s="25">
        <f t="shared" si="16"/>
        <v>648.710350345893</v>
      </c>
      <c r="H41" s="24">
        <f t="shared" si="16"/>
        <v>617.645040129204</v>
      </c>
      <c r="I41" s="24">
        <f t="shared" si="16"/>
        <v>595.347808751958</v>
      </c>
      <c r="J41" s="24">
        <f t="shared" si="16"/>
        <v>592.340644301805</v>
      </c>
    </row>
    <row r="42" customHeight="1" spans="1:10">
      <c r="A42" s="13">
        <v>12</v>
      </c>
      <c r="B42" s="27" t="s">
        <v>40</v>
      </c>
      <c r="C42" s="21">
        <f t="shared" ref="C42:J42" si="17">C39</f>
        <v>408952.04</v>
      </c>
      <c r="D42" s="21">
        <f t="shared" si="17"/>
        <v>419571.9</v>
      </c>
      <c r="E42" s="21">
        <f t="shared" si="17"/>
        <v>425708.52</v>
      </c>
      <c r="F42" s="21">
        <f t="shared" si="17"/>
        <v>439897</v>
      </c>
      <c r="G42" s="22">
        <f t="shared" si="17"/>
        <v>466738.08</v>
      </c>
      <c r="H42" s="21">
        <f t="shared" si="17"/>
        <v>472262.33</v>
      </c>
      <c r="I42" s="21">
        <f t="shared" si="17"/>
        <v>473196.31</v>
      </c>
      <c r="J42" s="21">
        <f t="shared" si="17"/>
        <v>489095.67</v>
      </c>
    </row>
    <row r="43" customHeight="1" spans="1:10">
      <c r="A43" s="13"/>
      <c r="B43" s="27" t="s">
        <v>42</v>
      </c>
      <c r="C43" s="21">
        <f t="shared" ref="C43:J43" si="18">C13</f>
        <v>8882755.19</v>
      </c>
      <c r="D43" s="21">
        <f t="shared" si="18"/>
        <v>9160633.9</v>
      </c>
      <c r="E43" s="21">
        <f t="shared" si="18"/>
        <v>9350562.97</v>
      </c>
      <c r="F43" s="21">
        <f t="shared" si="18"/>
        <v>9725456.12</v>
      </c>
      <c r="G43" s="22">
        <f t="shared" si="18"/>
        <v>9966796.3</v>
      </c>
      <c r="H43" s="21">
        <f t="shared" si="18"/>
        <v>10012703.07</v>
      </c>
      <c r="I43" s="21">
        <f t="shared" si="18"/>
        <v>10331485.78</v>
      </c>
      <c r="J43" s="21">
        <f t="shared" si="18"/>
        <v>10779969.06</v>
      </c>
    </row>
    <row r="44" customHeight="1" spans="1:10">
      <c r="A44" s="13"/>
      <c r="B44" s="29" t="s">
        <v>43</v>
      </c>
      <c r="C44" s="24">
        <f t="shared" ref="C44:J44" si="19">C42/C43*100</f>
        <v>4.60388732158676</v>
      </c>
      <c r="D44" s="24">
        <f t="shared" si="19"/>
        <v>4.58016229641051</v>
      </c>
      <c r="E44" s="24">
        <f t="shared" si="19"/>
        <v>4.55275817473052</v>
      </c>
      <c r="F44" s="24">
        <f t="shared" si="19"/>
        <v>4.52315032397678</v>
      </c>
      <c r="G44" s="25">
        <f t="shared" si="19"/>
        <v>4.68292985981865</v>
      </c>
      <c r="H44" s="24">
        <f t="shared" si="19"/>
        <v>4.71663172969734</v>
      </c>
      <c r="I44" s="24">
        <f t="shared" si="19"/>
        <v>4.58013803702878</v>
      </c>
      <c r="J44" s="24">
        <f t="shared" si="19"/>
        <v>4.53707860642042</v>
      </c>
    </row>
    <row r="45" customHeight="1" spans="1:10">
      <c r="A45" s="13">
        <v>13</v>
      </c>
      <c r="B45" s="30" t="s">
        <v>44</v>
      </c>
      <c r="C45" s="21">
        <v>24449.25</v>
      </c>
      <c r="D45" s="21">
        <v>24781.65</v>
      </c>
      <c r="E45" s="21">
        <v>24226.69</v>
      </c>
      <c r="F45" s="21">
        <v>24066.8</v>
      </c>
      <c r="G45" s="22">
        <v>24032.38</v>
      </c>
      <c r="H45" s="21">
        <v>21816.32</v>
      </c>
      <c r="I45" s="21">
        <v>21161.78</v>
      </c>
      <c r="J45" s="21">
        <v>17870.57</v>
      </c>
    </row>
    <row r="46" customHeight="1" spans="1:10">
      <c r="A46" s="13"/>
      <c r="B46" s="30" t="s">
        <v>45</v>
      </c>
      <c r="C46" s="21">
        <v>2614.58</v>
      </c>
      <c r="D46" s="21">
        <v>2843.71</v>
      </c>
      <c r="E46" s="21">
        <v>2920.61</v>
      </c>
      <c r="F46" s="21">
        <v>3219.2</v>
      </c>
      <c r="G46" s="22">
        <v>6400.93</v>
      </c>
      <c r="H46" s="21">
        <v>3086.11</v>
      </c>
      <c r="I46" s="21">
        <v>2987.47</v>
      </c>
      <c r="J46" s="21">
        <v>2987.47</v>
      </c>
    </row>
    <row r="47" customHeight="1" spans="1:10">
      <c r="A47" s="13"/>
      <c r="B47" s="30" t="s">
        <v>46</v>
      </c>
      <c r="C47" s="24">
        <f t="shared" ref="C47:J47" si="20">C45/C46*100</f>
        <v>935.111949146708</v>
      </c>
      <c r="D47" s="24">
        <f t="shared" si="20"/>
        <v>871.454895189735</v>
      </c>
      <c r="E47" s="24">
        <f t="shared" si="20"/>
        <v>829.507876779166</v>
      </c>
      <c r="F47" s="24">
        <f t="shared" si="20"/>
        <v>747.601888667992</v>
      </c>
      <c r="G47" s="25">
        <f t="shared" si="20"/>
        <v>375.451379721384</v>
      </c>
      <c r="H47" s="24">
        <f t="shared" si="20"/>
        <v>706.919714462543</v>
      </c>
      <c r="I47" s="24">
        <f t="shared" si="20"/>
        <v>708.351213568672</v>
      </c>
      <c r="J47" s="24">
        <f t="shared" si="20"/>
        <v>598.184082183252</v>
      </c>
    </row>
    <row r="48" customHeight="1" spans="1:10">
      <c r="A48" s="13">
        <v>14</v>
      </c>
      <c r="B48" s="27" t="s">
        <v>47</v>
      </c>
      <c r="C48" s="21">
        <v>22328.49</v>
      </c>
      <c r="D48" s="21">
        <v>50194.76</v>
      </c>
      <c r="E48" s="21">
        <v>85400.07</v>
      </c>
      <c r="F48" s="21">
        <v>101598.4</v>
      </c>
      <c r="G48" s="22">
        <v>26212.41</v>
      </c>
      <c r="H48" s="21">
        <v>61757.73</v>
      </c>
      <c r="I48" s="21">
        <v>92608.69</v>
      </c>
      <c r="J48" s="21">
        <v>112042.05</v>
      </c>
    </row>
    <row r="49" customHeight="1" spans="1:10">
      <c r="A49" s="13"/>
      <c r="B49" s="27" t="s">
        <v>48</v>
      </c>
      <c r="C49" s="21">
        <v>12302933.23</v>
      </c>
      <c r="D49" s="21">
        <v>12563694.89</v>
      </c>
      <c r="E49" s="21">
        <v>12599539.1</v>
      </c>
      <c r="F49" s="21">
        <v>12929161.25</v>
      </c>
      <c r="G49" s="22">
        <v>13889893.3</v>
      </c>
      <c r="H49" s="21">
        <v>13930467.57</v>
      </c>
      <c r="I49" s="21">
        <v>14364316.88</v>
      </c>
      <c r="J49" s="21">
        <v>14474609.3</v>
      </c>
    </row>
    <row r="50" s="3" customFormat="1" customHeight="1" spans="1:10">
      <c r="A50" s="31"/>
      <c r="B50" s="32" t="s">
        <v>49</v>
      </c>
      <c r="C50" s="33">
        <f>C48/C49*100*4</f>
        <v>0.725956634326951</v>
      </c>
      <c r="D50" s="33">
        <f>D48/D49*100*2</f>
        <v>0.799044555594107</v>
      </c>
      <c r="E50" s="33">
        <f>E48/E49*100*4/3</f>
        <v>0.903737502588488</v>
      </c>
      <c r="F50" s="33">
        <f>F48/F49*100</f>
        <v>0.785808128118133</v>
      </c>
      <c r="G50" s="34">
        <f>G48/G49*100*4</f>
        <v>0.754862818132663</v>
      </c>
      <c r="H50" s="33">
        <f>H48/H49*100*2</f>
        <v>0.886656958062177</v>
      </c>
      <c r="I50" s="33">
        <f>I48/I49*100*4/3</f>
        <v>0.859617998996227</v>
      </c>
      <c r="J50" s="33">
        <f>J48/J49*100</f>
        <v>0.774059234883804</v>
      </c>
    </row>
    <row r="51" s="3" customFormat="1" customHeight="1" spans="1:10">
      <c r="A51" s="31">
        <v>15</v>
      </c>
      <c r="B51" s="32" t="s">
        <v>47</v>
      </c>
      <c r="C51" s="35">
        <f t="shared" ref="C51:J51" si="21">C48</f>
        <v>22328.49</v>
      </c>
      <c r="D51" s="35">
        <f t="shared" si="21"/>
        <v>50194.76</v>
      </c>
      <c r="E51" s="35">
        <f t="shared" si="21"/>
        <v>85400.07</v>
      </c>
      <c r="F51" s="35">
        <f t="shared" si="21"/>
        <v>101598.4</v>
      </c>
      <c r="G51" s="36">
        <f t="shared" si="21"/>
        <v>26212.41</v>
      </c>
      <c r="H51" s="35">
        <f t="shared" si="21"/>
        <v>61757.73</v>
      </c>
      <c r="I51" s="35">
        <f t="shared" si="21"/>
        <v>92608.69</v>
      </c>
      <c r="J51" s="35">
        <f t="shared" si="21"/>
        <v>112042.05</v>
      </c>
    </row>
    <row r="52" s="3" customFormat="1" customHeight="1" spans="1:10">
      <c r="A52" s="31"/>
      <c r="B52" s="32" t="s">
        <v>50</v>
      </c>
      <c r="C52" s="35">
        <v>991516.31</v>
      </c>
      <c r="D52" s="35">
        <v>1009671.09</v>
      </c>
      <c r="E52" s="35">
        <v>1025710.435</v>
      </c>
      <c r="F52" s="35">
        <v>1044715.9</v>
      </c>
      <c r="G52" s="36">
        <v>1110415.05</v>
      </c>
      <c r="H52" s="35">
        <v>1137891.68</v>
      </c>
      <c r="I52" s="35">
        <v>1125986.45</v>
      </c>
      <c r="J52" s="35">
        <v>1138979.82</v>
      </c>
    </row>
    <row r="53" s="3" customFormat="1" customHeight="1" spans="1:10">
      <c r="A53" s="31"/>
      <c r="B53" s="32" t="s">
        <v>51</v>
      </c>
      <c r="C53" s="33">
        <f>C51/C52*100*4</f>
        <v>9.00781551440137</v>
      </c>
      <c r="D53" s="33">
        <f>D51/D52*100*2</f>
        <v>9.94279434107596</v>
      </c>
      <c r="E53" s="33">
        <f>E51/E52*100*4/3</f>
        <v>11.1012578320898</v>
      </c>
      <c r="F53" s="33">
        <f>F51/F52*100</f>
        <v>9.72497881960062</v>
      </c>
      <c r="G53" s="34">
        <f>G51/G52*100*4</f>
        <v>9.44238282793447</v>
      </c>
      <c r="H53" s="33">
        <f>H51/H52*100*2</f>
        <v>10.8547643128914</v>
      </c>
      <c r="I53" s="33">
        <f>I51/I52*100*4/3</f>
        <v>10.9662290637097</v>
      </c>
      <c r="J53" s="33">
        <f>J51/J52*100</f>
        <v>9.83705312706945</v>
      </c>
    </row>
    <row r="54" ht="29.25" customHeight="1" spans="1:10">
      <c r="A54" s="13">
        <v>16</v>
      </c>
      <c r="B54" s="37" t="s">
        <v>52</v>
      </c>
      <c r="C54" s="21">
        <v>23057.03</v>
      </c>
      <c r="D54" s="21">
        <v>41596.95</v>
      </c>
      <c r="E54" s="21">
        <v>61866.84</v>
      </c>
      <c r="F54" s="21">
        <v>88765.94</v>
      </c>
      <c r="G54" s="22">
        <v>22650.48</v>
      </c>
      <c r="H54" s="21">
        <v>41570.35</v>
      </c>
      <c r="I54" s="21">
        <v>58023.94</v>
      </c>
      <c r="J54" s="21">
        <v>87220.2</v>
      </c>
    </row>
    <row r="55" customHeight="1" spans="1:10">
      <c r="A55" s="13"/>
      <c r="B55" s="27" t="s">
        <v>53</v>
      </c>
      <c r="C55" s="21">
        <v>69268.47</v>
      </c>
      <c r="D55" s="21">
        <v>137642.13</v>
      </c>
      <c r="E55" s="21">
        <v>202615.75</v>
      </c>
      <c r="F55" s="21">
        <v>274181.48</v>
      </c>
      <c r="G55" s="22">
        <v>77670.43</v>
      </c>
      <c r="H55" s="21">
        <v>158096.15</v>
      </c>
      <c r="I55" s="21">
        <v>220769.21</v>
      </c>
      <c r="J55" s="21">
        <v>303509.38</v>
      </c>
    </row>
    <row r="56" customHeight="1" spans="1:10">
      <c r="A56" s="13"/>
      <c r="B56" s="27" t="s">
        <v>54</v>
      </c>
      <c r="C56" s="24">
        <f t="shared" ref="C56:J56" si="22">C54/C55*100</f>
        <v>33.2864721856856</v>
      </c>
      <c r="D56" s="24">
        <f t="shared" si="22"/>
        <v>30.2210885576967</v>
      </c>
      <c r="E56" s="24">
        <f t="shared" si="22"/>
        <v>30.5340724992998</v>
      </c>
      <c r="F56" s="24">
        <f t="shared" si="22"/>
        <v>32.374885422604</v>
      </c>
      <c r="G56" s="25">
        <f t="shared" si="22"/>
        <v>29.1622950973749</v>
      </c>
      <c r="H56" s="24">
        <f t="shared" si="22"/>
        <v>26.2943468262826</v>
      </c>
      <c r="I56" s="24">
        <f t="shared" si="22"/>
        <v>26.2826233785046</v>
      </c>
      <c r="J56" s="24">
        <f t="shared" si="22"/>
        <v>28.7372337553455</v>
      </c>
    </row>
    <row r="57" customHeight="1" spans="1:10">
      <c r="A57" s="13">
        <v>17</v>
      </c>
      <c r="B57" s="27" t="s">
        <v>55</v>
      </c>
      <c r="C57" s="21">
        <v>2002445.15</v>
      </c>
      <c r="D57" s="21">
        <v>2256959.62</v>
      </c>
      <c r="E57" s="21">
        <v>2045296.7</v>
      </c>
      <c r="F57" s="21">
        <v>2576262.28</v>
      </c>
      <c r="G57" s="22">
        <v>2562168.67</v>
      </c>
      <c r="H57" s="21">
        <v>2367715.72</v>
      </c>
      <c r="I57" s="21">
        <v>3008688.66</v>
      </c>
      <c r="J57" s="21">
        <v>2721141.79</v>
      </c>
    </row>
    <row r="58" ht="18" customHeight="1" spans="1:10">
      <c r="A58" s="13"/>
      <c r="B58" s="27" t="s">
        <v>56</v>
      </c>
      <c r="C58" s="21">
        <v>3894768.29</v>
      </c>
      <c r="D58" s="21">
        <v>4101512.83</v>
      </c>
      <c r="E58" s="21">
        <v>4079252.67</v>
      </c>
      <c r="F58" s="21">
        <v>4498319.32</v>
      </c>
      <c r="G58" s="22">
        <v>4437507.94</v>
      </c>
      <c r="H58" s="21">
        <v>3940662.53</v>
      </c>
      <c r="I58" s="21">
        <v>4409884.41</v>
      </c>
      <c r="J58" s="21">
        <v>5057241.79</v>
      </c>
    </row>
    <row r="59" customHeight="1" spans="1:10">
      <c r="A59" s="13"/>
      <c r="B59" s="27" t="s">
        <v>57</v>
      </c>
      <c r="C59" s="24">
        <f t="shared" ref="C59:J59" si="23">C57/C58*100</f>
        <v>51.4137170917554</v>
      </c>
      <c r="D59" s="24">
        <f t="shared" si="23"/>
        <v>55.0274914049214</v>
      </c>
      <c r="E59" s="24">
        <f t="shared" si="23"/>
        <v>50.1390049957361</v>
      </c>
      <c r="F59" s="24">
        <f t="shared" si="23"/>
        <v>57.2716629641134</v>
      </c>
      <c r="G59" s="25">
        <f t="shared" si="23"/>
        <v>57.7389089697043</v>
      </c>
      <c r="H59" s="24">
        <f t="shared" si="23"/>
        <v>60.0842041655366</v>
      </c>
      <c r="I59" s="24">
        <f t="shared" si="23"/>
        <v>68.2260209174054</v>
      </c>
      <c r="J59" s="24">
        <f t="shared" si="23"/>
        <v>53.8068358799985</v>
      </c>
    </row>
    <row r="60" ht="24" customHeight="1" spans="1:10">
      <c r="A60" s="13">
        <v>18</v>
      </c>
      <c r="B60" s="37" t="s">
        <v>58</v>
      </c>
      <c r="C60" s="21">
        <v>8684422.19</v>
      </c>
      <c r="D60" s="21">
        <v>8683221.07</v>
      </c>
      <c r="E60" s="21">
        <v>8691140.64</v>
      </c>
      <c r="F60" s="21">
        <v>8624750.9</v>
      </c>
      <c r="G60" s="22">
        <v>9171575.04</v>
      </c>
      <c r="H60" s="21">
        <v>9500923.29</v>
      </c>
      <c r="I60" s="21">
        <v>9673160.07</v>
      </c>
      <c r="J60" s="21">
        <v>9100928.74</v>
      </c>
    </row>
    <row r="61" customHeight="1" spans="1:10">
      <c r="A61" s="13"/>
      <c r="B61" s="27" t="s">
        <v>59</v>
      </c>
      <c r="C61" s="21">
        <v>11362223.79</v>
      </c>
      <c r="D61" s="21">
        <v>11847437.55</v>
      </c>
      <c r="E61" s="21">
        <v>11887047.27</v>
      </c>
      <c r="F61" s="21">
        <v>12508280.65</v>
      </c>
      <c r="G61" s="22">
        <v>13050675.84</v>
      </c>
      <c r="H61" s="21">
        <v>13076871.14</v>
      </c>
      <c r="I61" s="21">
        <v>13968380.21</v>
      </c>
      <c r="J61" s="21">
        <v>14162978.31</v>
      </c>
    </row>
    <row r="62" customHeight="1" spans="1:10">
      <c r="A62" s="13"/>
      <c r="B62" s="27" t="s">
        <v>60</v>
      </c>
      <c r="C62" s="24">
        <f t="shared" ref="C62:J62" si="24">C60/C61*100</f>
        <v>76.4324163166302</v>
      </c>
      <c r="D62" s="24">
        <f t="shared" si="24"/>
        <v>73.2919758669671</v>
      </c>
      <c r="E62" s="24">
        <f t="shared" si="24"/>
        <v>73.1143777137516</v>
      </c>
      <c r="F62" s="24">
        <f t="shared" si="24"/>
        <v>68.9523295913575</v>
      </c>
      <c r="G62" s="25">
        <f t="shared" si="24"/>
        <v>70.2766289841431</v>
      </c>
      <c r="H62" s="24">
        <f t="shared" si="24"/>
        <v>72.6544078341358</v>
      </c>
      <c r="I62" s="24">
        <f t="shared" si="24"/>
        <v>69.2504064506703</v>
      </c>
      <c r="J62" s="24">
        <f t="shared" si="24"/>
        <v>64.2585799455341</v>
      </c>
    </row>
    <row r="63" customHeight="1" spans="1:10">
      <c r="A63" s="13">
        <v>19</v>
      </c>
      <c r="B63" s="27" t="s">
        <v>61</v>
      </c>
      <c r="C63" s="21">
        <v>862650.84</v>
      </c>
      <c r="D63" s="21">
        <v>661574.05</v>
      </c>
      <c r="E63" s="21">
        <v>802195.96</v>
      </c>
      <c r="F63" s="21">
        <v>365451.17</v>
      </c>
      <c r="G63" s="22">
        <v>269342.93</v>
      </c>
      <c r="H63" s="21">
        <v>684082.36</v>
      </c>
      <c r="I63" s="21">
        <v>1228268.17</v>
      </c>
      <c r="J63" s="21">
        <v>570418.14</v>
      </c>
    </row>
    <row r="64" customHeight="1" spans="1:10">
      <c r="A64" s="13"/>
      <c r="B64" s="27" t="s">
        <v>62</v>
      </c>
      <c r="C64" s="21">
        <v>2299528.1</v>
      </c>
      <c r="D64" s="21">
        <v>2570324.5</v>
      </c>
      <c r="E64" s="21">
        <v>2731270.16</v>
      </c>
      <c r="F64" s="21">
        <v>2438337.69</v>
      </c>
      <c r="G64" s="22">
        <v>2672862.56</v>
      </c>
      <c r="H64" s="21">
        <v>2792661.44</v>
      </c>
      <c r="I64" s="21">
        <v>3528771.99</v>
      </c>
      <c r="J64" s="21">
        <v>3663450.87</v>
      </c>
    </row>
    <row r="65" customHeight="1" spans="1:10">
      <c r="A65" s="13"/>
      <c r="B65" s="27" t="s">
        <v>63</v>
      </c>
      <c r="C65" s="24">
        <f t="shared" ref="C65:J65" si="25">C63/C64*100</f>
        <v>37.5142552074054</v>
      </c>
      <c r="D65" s="24">
        <f t="shared" si="25"/>
        <v>25.738931018243</v>
      </c>
      <c r="E65" s="24">
        <f t="shared" si="25"/>
        <v>29.3708023376201</v>
      </c>
      <c r="F65" s="24">
        <f t="shared" si="25"/>
        <v>14.9877177184593</v>
      </c>
      <c r="G65" s="25">
        <f t="shared" si="25"/>
        <v>10.0769464929016</v>
      </c>
      <c r="H65" s="24">
        <f t="shared" si="25"/>
        <v>24.495714023967</v>
      </c>
      <c r="I65" s="24">
        <f t="shared" si="25"/>
        <v>34.8072409745012</v>
      </c>
      <c r="J65" s="24">
        <f t="shared" si="25"/>
        <v>15.570514256685</v>
      </c>
    </row>
    <row r="66" customHeight="1" spans="1:10">
      <c r="A66" s="13">
        <v>20</v>
      </c>
      <c r="B66" s="27" t="s">
        <v>64</v>
      </c>
      <c r="C66" s="21">
        <v>206252.97</v>
      </c>
      <c r="D66" s="21">
        <v>435768.91</v>
      </c>
      <c r="E66" s="21">
        <v>283461.42</v>
      </c>
      <c r="F66" s="21">
        <v>307332.25</v>
      </c>
      <c r="G66" s="22">
        <v>253671.94</v>
      </c>
      <c r="H66" s="21">
        <v>230944.54</v>
      </c>
      <c r="I66" s="21">
        <v>361245.76</v>
      </c>
      <c r="J66" s="21">
        <v>293376.77</v>
      </c>
    </row>
    <row r="67" customHeight="1" spans="1:10">
      <c r="A67" s="13"/>
      <c r="B67" s="27" t="s">
        <v>65</v>
      </c>
      <c r="C67" s="21">
        <v>9413000.57</v>
      </c>
      <c r="D67" s="21">
        <v>9744706.02</v>
      </c>
      <c r="E67" s="21">
        <v>9575975.17</v>
      </c>
      <c r="F67" s="21">
        <v>10372044.61</v>
      </c>
      <c r="G67" s="22">
        <v>10556129.89</v>
      </c>
      <c r="H67" s="21">
        <v>10478085.87</v>
      </c>
      <c r="I67" s="21">
        <v>11181810.24</v>
      </c>
      <c r="J67" s="21">
        <v>11702017.81</v>
      </c>
    </row>
    <row r="68" customHeight="1" spans="1:10">
      <c r="A68" s="13"/>
      <c r="B68" s="27" t="s">
        <v>66</v>
      </c>
      <c r="C68" s="24">
        <f t="shared" ref="C68:J68" si="26">C66/C67*100</f>
        <v>2.1911500850998</v>
      </c>
      <c r="D68" s="24">
        <f t="shared" si="26"/>
        <v>4.47185281018873</v>
      </c>
      <c r="E68" s="24">
        <f t="shared" si="26"/>
        <v>2.96013110902834</v>
      </c>
      <c r="F68" s="24">
        <f t="shared" si="26"/>
        <v>2.96308260864682</v>
      </c>
      <c r="G68" s="25">
        <f t="shared" si="26"/>
        <v>2.40307709968885</v>
      </c>
      <c r="H68" s="24">
        <f t="shared" si="26"/>
        <v>2.20407183969757</v>
      </c>
      <c r="I68" s="24">
        <f t="shared" si="26"/>
        <v>3.2306554327647</v>
      </c>
      <c r="J68" s="24">
        <f t="shared" si="26"/>
        <v>2.50706138687717</v>
      </c>
    </row>
    <row r="69" customHeight="1" spans="1:10">
      <c r="A69" s="13">
        <v>21</v>
      </c>
      <c r="B69" s="27" t="s">
        <v>67</v>
      </c>
      <c r="C69" s="21">
        <v>8083255.19</v>
      </c>
      <c r="D69" s="21">
        <v>8335133.9</v>
      </c>
      <c r="E69" s="21">
        <v>8462062.97</v>
      </c>
      <c r="F69" s="21">
        <v>8686956.12</v>
      </c>
      <c r="G69" s="22">
        <v>8934296.3</v>
      </c>
      <c r="H69" s="21">
        <v>8927203.07</v>
      </c>
      <c r="I69" s="21">
        <v>9215985.78</v>
      </c>
      <c r="J69" s="21">
        <v>9677169.06</v>
      </c>
    </row>
    <row r="70" customHeight="1" spans="1:10">
      <c r="A70" s="13"/>
      <c r="B70" s="27" t="s">
        <v>68</v>
      </c>
      <c r="C70" s="21">
        <v>9453508.22</v>
      </c>
      <c r="D70" s="21">
        <v>9782536.66</v>
      </c>
      <c r="E70" s="21">
        <v>9611823.64</v>
      </c>
      <c r="F70" s="21">
        <v>10410198.25</v>
      </c>
      <c r="G70" s="22">
        <v>10625830.21</v>
      </c>
      <c r="H70" s="21">
        <v>10551305.24</v>
      </c>
      <c r="I70" s="21">
        <v>11240783.15</v>
      </c>
      <c r="J70" s="21">
        <v>11762029.51</v>
      </c>
    </row>
    <row r="71" customHeight="1" spans="1:10">
      <c r="A71" s="13"/>
      <c r="B71" s="27" t="s">
        <v>69</v>
      </c>
      <c r="C71" s="24">
        <f t="shared" ref="C71:J71" si="27">C69/C70*100</f>
        <v>85.5053489338374</v>
      </c>
      <c r="D71" s="24">
        <f t="shared" si="27"/>
        <v>85.2042183913472</v>
      </c>
      <c r="E71" s="24">
        <f t="shared" si="27"/>
        <v>88.0380590295558</v>
      </c>
      <c r="F71" s="24">
        <f t="shared" si="27"/>
        <v>83.4465964180845</v>
      </c>
      <c r="G71" s="25">
        <f t="shared" si="27"/>
        <v>84.0809247223987</v>
      </c>
      <c r="H71" s="24">
        <f t="shared" si="27"/>
        <v>84.6075709776357</v>
      </c>
      <c r="I71" s="24">
        <f t="shared" si="27"/>
        <v>81.9870435806779</v>
      </c>
      <c r="J71" s="24">
        <f t="shared" si="27"/>
        <v>82.2746538067477</v>
      </c>
    </row>
    <row r="72" customHeight="1" spans="1:10">
      <c r="A72" s="13">
        <v>22</v>
      </c>
      <c r="B72" s="27" t="s">
        <v>70</v>
      </c>
      <c r="C72" s="21">
        <v>254206.71</v>
      </c>
      <c r="D72" s="21">
        <v>268855.87</v>
      </c>
      <c r="E72" s="21">
        <v>286561.82</v>
      </c>
      <c r="F72" s="21">
        <v>354187.24</v>
      </c>
      <c r="G72" s="22">
        <v>422032.06</v>
      </c>
      <c r="H72" s="21">
        <v>332069.82</v>
      </c>
      <c r="I72" s="21">
        <v>417749.96</v>
      </c>
      <c r="J72" s="21">
        <v>350114.38</v>
      </c>
    </row>
    <row r="73" customHeight="1" spans="1:10">
      <c r="A73" s="13"/>
      <c r="B73" s="14" t="s">
        <v>16</v>
      </c>
      <c r="C73" s="21">
        <f t="shared" ref="C73:J73" si="28">C9</f>
        <v>993679.23</v>
      </c>
      <c r="D73" s="21">
        <f t="shared" si="28"/>
        <v>1030670.33</v>
      </c>
      <c r="E73" s="21">
        <f t="shared" si="28"/>
        <v>1062914.8</v>
      </c>
      <c r="F73" s="21">
        <f t="shared" si="28"/>
        <v>1098097.91</v>
      </c>
      <c r="G73" s="22">
        <f t="shared" si="28"/>
        <v>1084055.82</v>
      </c>
      <c r="H73" s="21">
        <f t="shared" si="28"/>
        <v>1139271.14</v>
      </c>
      <c r="I73" s="21">
        <f t="shared" si="28"/>
        <v>1115029.74</v>
      </c>
      <c r="J73" s="21">
        <f t="shared" si="28"/>
        <v>1141033.49</v>
      </c>
    </row>
    <row r="74" customHeight="1" spans="1:10">
      <c r="A74" s="13"/>
      <c r="B74" s="27" t="s">
        <v>71</v>
      </c>
      <c r="C74" s="19">
        <f t="shared" ref="C74:J74" si="29">C72/C73*100</f>
        <v>25.5823712849468</v>
      </c>
      <c r="D74" s="19">
        <f t="shared" si="29"/>
        <v>26.0855350323318</v>
      </c>
      <c r="E74" s="19">
        <f t="shared" si="29"/>
        <v>26.9599990516643</v>
      </c>
      <c r="F74" s="19">
        <f t="shared" si="29"/>
        <v>32.2546137985091</v>
      </c>
      <c r="G74" s="20">
        <f t="shared" si="29"/>
        <v>38.9308421405828</v>
      </c>
      <c r="H74" s="19">
        <f t="shared" si="29"/>
        <v>29.1475671015418</v>
      </c>
      <c r="I74" s="19">
        <f t="shared" si="29"/>
        <v>37.465364825157</v>
      </c>
      <c r="J74" s="19">
        <f t="shared" si="29"/>
        <v>30.6839705467365</v>
      </c>
    </row>
    <row r="75" customHeight="1" spans="1:10">
      <c r="A75" s="13">
        <v>23</v>
      </c>
      <c r="B75" s="27" t="s">
        <v>72</v>
      </c>
      <c r="C75" s="21">
        <v>4125.84</v>
      </c>
      <c r="D75" s="21">
        <v>5170.26</v>
      </c>
      <c r="E75" s="21">
        <v>5618.78</v>
      </c>
      <c r="F75" s="21">
        <v>6265.49</v>
      </c>
      <c r="G75" s="22">
        <v>7040.15</v>
      </c>
      <c r="H75" s="21">
        <v>8161.29</v>
      </c>
      <c r="I75" s="21">
        <v>9157.75</v>
      </c>
      <c r="J75" s="21">
        <v>9986.44</v>
      </c>
    </row>
    <row r="76" customHeight="1" spans="1:10">
      <c r="A76" s="13"/>
      <c r="B76" s="14" t="s">
        <v>11</v>
      </c>
      <c r="C76" s="21">
        <f t="shared" ref="C76:J76" si="30">C19</f>
        <v>1095175.89625125</v>
      </c>
      <c r="D76" s="21">
        <f t="shared" si="30"/>
        <v>1136035.69</v>
      </c>
      <c r="E76" s="21">
        <f t="shared" si="30"/>
        <v>1170291.77</v>
      </c>
      <c r="F76" s="21">
        <f t="shared" si="30"/>
        <v>1207180.38</v>
      </c>
      <c r="G76" s="22">
        <f t="shared" si="30"/>
        <v>1196088.2</v>
      </c>
      <c r="H76" s="21">
        <f t="shared" si="30"/>
        <v>1253648.63</v>
      </c>
      <c r="I76" s="21">
        <f t="shared" si="30"/>
        <v>1232530.33</v>
      </c>
      <c r="J76" s="21">
        <f t="shared" si="30"/>
        <v>1256680.88</v>
      </c>
    </row>
    <row r="77" customHeight="1" spans="1:10">
      <c r="A77" s="13"/>
      <c r="B77" s="27" t="s">
        <v>73</v>
      </c>
      <c r="C77" s="24">
        <f t="shared" ref="C77:J77" si="31">C75/C76*100</f>
        <v>0.376728524990607</v>
      </c>
      <c r="D77" s="24">
        <f t="shared" si="31"/>
        <v>0.455114222687845</v>
      </c>
      <c r="E77" s="24">
        <f t="shared" si="31"/>
        <v>0.480117876929101</v>
      </c>
      <c r="F77" s="24">
        <f t="shared" si="31"/>
        <v>0.519018541371589</v>
      </c>
      <c r="G77" s="25">
        <f t="shared" si="31"/>
        <v>0.588597897713563</v>
      </c>
      <c r="H77" s="24">
        <f t="shared" si="31"/>
        <v>0.651002984783703</v>
      </c>
      <c r="I77" s="24">
        <f t="shared" si="31"/>
        <v>0.743004028144281</v>
      </c>
      <c r="J77" s="24">
        <f t="shared" si="31"/>
        <v>0.794667935108554</v>
      </c>
    </row>
    <row r="78" hidden="1" customHeight="1" spans="1:10">
      <c r="A78" s="38">
        <v>24</v>
      </c>
      <c r="B78" s="39" t="s">
        <v>74</v>
      </c>
      <c r="C78" s="21"/>
      <c r="D78" s="21"/>
      <c r="E78" s="21"/>
      <c r="F78" s="21"/>
      <c r="G78" s="22"/>
      <c r="H78" s="21"/>
      <c r="I78" s="21"/>
      <c r="J78" s="21"/>
    </row>
    <row r="79" hidden="1" customHeight="1" spans="1:10">
      <c r="A79" s="38"/>
      <c r="B79" s="40" t="s">
        <v>75</v>
      </c>
      <c r="C79" s="21"/>
      <c r="D79" s="21"/>
      <c r="E79" s="21"/>
      <c r="F79" s="21"/>
      <c r="G79" s="22"/>
      <c r="H79" s="21"/>
      <c r="I79" s="21"/>
      <c r="J79" s="21"/>
    </row>
    <row r="80" hidden="1" customHeight="1" spans="1:10">
      <c r="A80" s="38"/>
      <c r="B80" s="39" t="s">
        <v>76</v>
      </c>
      <c r="C80" s="21"/>
      <c r="D80" s="21"/>
      <c r="E80" s="21"/>
      <c r="F80" s="21"/>
      <c r="G80" s="22"/>
      <c r="H80" s="21"/>
      <c r="I80" s="21"/>
      <c r="J80" s="21"/>
    </row>
    <row r="81" hidden="1" customHeight="1" spans="1:10">
      <c r="A81" s="38">
        <v>25</v>
      </c>
      <c r="B81" s="39" t="s">
        <v>77</v>
      </c>
      <c r="C81" s="21"/>
      <c r="D81" s="21"/>
      <c r="E81" s="21"/>
      <c r="F81" s="21"/>
      <c r="G81" s="22"/>
      <c r="H81" s="21"/>
      <c r="I81" s="21"/>
      <c r="J81" s="21"/>
    </row>
    <row r="82" hidden="1" customHeight="1" spans="1:10">
      <c r="A82" s="38"/>
      <c r="B82" s="40" t="s">
        <v>78</v>
      </c>
      <c r="C82" s="21"/>
      <c r="D82" s="21"/>
      <c r="E82" s="21"/>
      <c r="F82" s="21"/>
      <c r="G82" s="22"/>
      <c r="H82" s="21"/>
      <c r="I82" s="21"/>
      <c r="J82" s="21"/>
    </row>
    <row r="83" hidden="1" customHeight="1" spans="1:10">
      <c r="A83" s="38"/>
      <c r="B83" s="39" t="s">
        <v>79</v>
      </c>
      <c r="C83" s="19" t="e">
        <f t="shared" ref="C83:J83" si="32">C81/C82*100</f>
        <v>#DIV/0!</v>
      </c>
      <c r="D83" s="19" t="e">
        <f t="shared" si="32"/>
        <v>#DIV/0!</v>
      </c>
      <c r="E83" s="19" t="e">
        <f t="shared" si="32"/>
        <v>#DIV/0!</v>
      </c>
      <c r="F83" s="19" t="e">
        <f t="shared" si="32"/>
        <v>#DIV/0!</v>
      </c>
      <c r="G83" s="20" t="e">
        <f t="shared" si="32"/>
        <v>#DIV/0!</v>
      </c>
      <c r="H83" s="19" t="e">
        <f t="shared" si="32"/>
        <v>#DIV/0!</v>
      </c>
      <c r="I83" s="19" t="e">
        <f t="shared" si="32"/>
        <v>#DIV/0!</v>
      </c>
      <c r="J83" s="19" t="e">
        <f t="shared" si="32"/>
        <v>#DIV/0!</v>
      </c>
    </row>
    <row r="84" customHeight="1" spans="1:10">
      <c r="A84" s="41" t="s">
        <v>80</v>
      </c>
      <c r="B84" s="14" t="s">
        <v>11</v>
      </c>
      <c r="C84" s="21">
        <f t="shared" ref="C84:J84" si="33">C19</f>
        <v>1095175.89625125</v>
      </c>
      <c r="D84" s="21">
        <f t="shared" si="33"/>
        <v>1136035.69</v>
      </c>
      <c r="E84" s="21">
        <f t="shared" si="33"/>
        <v>1170291.77</v>
      </c>
      <c r="F84" s="21">
        <f t="shared" si="33"/>
        <v>1207180.38</v>
      </c>
      <c r="G84" s="22">
        <f t="shared" si="33"/>
        <v>1196088.2</v>
      </c>
      <c r="H84" s="21">
        <f t="shared" si="33"/>
        <v>1253648.63</v>
      </c>
      <c r="I84" s="21">
        <f t="shared" si="33"/>
        <v>1232530.33</v>
      </c>
      <c r="J84" s="21">
        <f t="shared" si="33"/>
        <v>1256680.88</v>
      </c>
    </row>
    <row r="85" customHeight="1" spans="1:10">
      <c r="A85" s="41"/>
      <c r="B85" s="17" t="s">
        <v>12</v>
      </c>
      <c r="C85" s="21">
        <v>8637921.33</v>
      </c>
      <c r="D85" s="21">
        <v>9031853.01</v>
      </c>
      <c r="E85" s="21">
        <v>9292979.73</v>
      </c>
      <c r="F85" s="21">
        <v>9304422.27</v>
      </c>
      <c r="G85" s="22">
        <v>9561348.44</v>
      </c>
      <c r="H85" s="21">
        <v>9747003.57</v>
      </c>
      <c r="I85" s="21">
        <v>10007572.86</v>
      </c>
      <c r="J85" s="21">
        <v>9862449.52</v>
      </c>
    </row>
    <row r="86" customHeight="1" spans="1:10">
      <c r="A86" s="41"/>
      <c r="B86" s="17" t="s">
        <v>81</v>
      </c>
      <c r="C86" s="19">
        <f t="shared" ref="C86:J86" si="34">C84/C85*100</f>
        <v>12.6786972746283</v>
      </c>
      <c r="D86" s="19">
        <f t="shared" si="34"/>
        <v>12.5781020654587</v>
      </c>
      <c r="E86" s="19">
        <f t="shared" si="34"/>
        <v>12.5932887405534</v>
      </c>
      <c r="F86" s="19">
        <f t="shared" si="34"/>
        <v>12.9742647632436</v>
      </c>
      <c r="G86" s="20">
        <f t="shared" si="34"/>
        <v>12.5096183609014</v>
      </c>
      <c r="H86" s="19">
        <f t="shared" si="34"/>
        <v>12.8618874610713</v>
      </c>
      <c r="I86" s="19">
        <f t="shared" si="34"/>
        <v>12.3159765833571</v>
      </c>
      <c r="J86" s="19">
        <f t="shared" si="34"/>
        <v>12.7420766763022</v>
      </c>
    </row>
    <row r="87" customHeight="1" spans="1:10">
      <c r="A87" s="41" t="s">
        <v>82</v>
      </c>
      <c r="B87" s="14" t="s">
        <v>16</v>
      </c>
      <c r="C87" s="21">
        <f t="shared" ref="C87:J87" si="35">C9</f>
        <v>993679.23</v>
      </c>
      <c r="D87" s="21">
        <f t="shared" si="35"/>
        <v>1030670.33</v>
      </c>
      <c r="E87" s="21">
        <f t="shared" si="35"/>
        <v>1062914.8</v>
      </c>
      <c r="F87" s="21">
        <f t="shared" si="35"/>
        <v>1098097.91</v>
      </c>
      <c r="G87" s="22">
        <f t="shared" si="35"/>
        <v>1084055.82</v>
      </c>
      <c r="H87" s="21">
        <f t="shared" si="35"/>
        <v>1139271.14</v>
      </c>
      <c r="I87" s="21">
        <f t="shared" si="35"/>
        <v>1115029.74</v>
      </c>
      <c r="J87" s="21">
        <f t="shared" si="35"/>
        <v>1141033.49</v>
      </c>
    </row>
    <row r="88" customHeight="1" spans="1:10">
      <c r="A88" s="41"/>
      <c r="B88" s="17" t="s">
        <v>12</v>
      </c>
      <c r="C88" s="21">
        <f t="shared" ref="C88:J88" si="36">C85</f>
        <v>8637921.33</v>
      </c>
      <c r="D88" s="21">
        <f t="shared" si="36"/>
        <v>9031853.01</v>
      </c>
      <c r="E88" s="21">
        <f t="shared" si="36"/>
        <v>9292979.73</v>
      </c>
      <c r="F88" s="21">
        <f t="shared" si="36"/>
        <v>9304422.27</v>
      </c>
      <c r="G88" s="22">
        <f t="shared" si="36"/>
        <v>9561348.44</v>
      </c>
      <c r="H88" s="21">
        <f t="shared" si="36"/>
        <v>9747003.57</v>
      </c>
      <c r="I88" s="21">
        <f t="shared" si="36"/>
        <v>10007572.86</v>
      </c>
      <c r="J88" s="21">
        <f t="shared" si="36"/>
        <v>9862449.52</v>
      </c>
    </row>
    <row r="89" ht="24" customHeight="1" spans="1:10">
      <c r="A89" s="41"/>
      <c r="B89" s="17" t="s">
        <v>83</v>
      </c>
      <c r="C89" s="19">
        <f t="shared" ref="C89:J89" si="37">C87/C88*100</f>
        <v>11.5036846486306</v>
      </c>
      <c r="D89" s="19">
        <f t="shared" si="37"/>
        <v>11.4115046918816</v>
      </c>
      <c r="E89" s="19">
        <f t="shared" si="37"/>
        <v>11.4378254433145</v>
      </c>
      <c r="F89" s="19">
        <f t="shared" si="37"/>
        <v>11.8018924564566</v>
      </c>
      <c r="G89" s="20">
        <f t="shared" si="37"/>
        <v>11.3378968123873</v>
      </c>
      <c r="H89" s="19">
        <f t="shared" si="37"/>
        <v>11.6884243636324</v>
      </c>
      <c r="I89" s="19">
        <f t="shared" si="37"/>
        <v>11.1418598255402</v>
      </c>
      <c r="J89" s="19">
        <f t="shared" si="37"/>
        <v>11.5694735642104</v>
      </c>
    </row>
    <row r="90" customHeight="1" spans="1:10">
      <c r="A90" s="13">
        <v>28</v>
      </c>
      <c r="B90" s="42" t="s">
        <v>74</v>
      </c>
      <c r="C90" s="15">
        <v>1040580.05</v>
      </c>
      <c r="D90" s="15">
        <v>1003760.45</v>
      </c>
      <c r="E90" s="15">
        <v>909178.57</v>
      </c>
      <c r="F90" s="15">
        <v>1310985.04</v>
      </c>
      <c r="G90" s="16">
        <v>1318890.69</v>
      </c>
      <c r="H90" s="15">
        <v>1001979.51</v>
      </c>
      <c r="I90" s="15">
        <v>1542060.63</v>
      </c>
      <c r="J90" s="15">
        <v>1834472.05</v>
      </c>
    </row>
    <row r="91" customHeight="1" spans="1:10">
      <c r="A91" s="13"/>
      <c r="B91" s="42" t="s">
        <v>84</v>
      </c>
      <c r="C91" s="15">
        <v>760060.54</v>
      </c>
      <c r="D91" s="15">
        <v>679500.22</v>
      </c>
      <c r="E91" s="15">
        <v>626449.33</v>
      </c>
      <c r="F91" s="21">
        <v>988839.3</v>
      </c>
      <c r="G91" s="22">
        <v>900156.16</v>
      </c>
      <c r="H91" s="21">
        <v>733160.52</v>
      </c>
      <c r="I91" s="21">
        <v>756685.13</v>
      </c>
      <c r="J91" s="21">
        <v>1254628.85</v>
      </c>
    </row>
    <row r="92" customHeight="1" spans="1:10">
      <c r="A92" s="13"/>
      <c r="B92" s="42" t="s">
        <v>85</v>
      </c>
      <c r="C92" s="43">
        <f t="shared" ref="C92:J92" si="38">C90/C91*100</f>
        <v>136.907521866613</v>
      </c>
      <c r="D92" s="43">
        <f t="shared" si="38"/>
        <v>147.720401032394</v>
      </c>
      <c r="E92" s="43">
        <f t="shared" si="38"/>
        <v>145.13202049398</v>
      </c>
      <c r="F92" s="43">
        <f t="shared" si="38"/>
        <v>132.578169172686</v>
      </c>
      <c r="G92" s="44">
        <f t="shared" si="38"/>
        <v>146.517987501191</v>
      </c>
      <c r="H92" s="43">
        <f t="shared" si="38"/>
        <v>136.665775456649</v>
      </c>
      <c r="I92" s="43">
        <f t="shared" si="38"/>
        <v>203.791586336578</v>
      </c>
      <c r="J92" s="43">
        <f t="shared" si="38"/>
        <v>146.216313294565</v>
      </c>
    </row>
    <row r="93" customHeight="1" spans="1:10">
      <c r="A93" s="13">
        <v>29</v>
      </c>
      <c r="B93" s="42" t="s">
        <v>86</v>
      </c>
      <c r="C93" s="15">
        <v>9200367.27</v>
      </c>
      <c r="D93" s="15">
        <v>9363885.37</v>
      </c>
      <c r="E93" s="21">
        <v>9294330.4</v>
      </c>
      <c r="F93" s="21">
        <v>9797375.16</v>
      </c>
      <c r="G93" s="22">
        <v>9960035.31</v>
      </c>
      <c r="H93" s="21">
        <v>10048938.44</v>
      </c>
      <c r="I93" s="21">
        <v>10643363.96</v>
      </c>
      <c r="J93" s="21">
        <v>10688049.06</v>
      </c>
    </row>
    <row r="94" customHeight="1" spans="1:10">
      <c r="A94" s="13"/>
      <c r="B94" s="42" t="s">
        <v>87</v>
      </c>
      <c r="C94" s="15">
        <v>5580103.06</v>
      </c>
      <c r="D94" s="15">
        <v>5808767.02</v>
      </c>
      <c r="E94" s="15">
        <v>6024085.81</v>
      </c>
      <c r="F94" s="15">
        <v>6406697.35</v>
      </c>
      <c r="G94" s="16">
        <v>6403140.32</v>
      </c>
      <c r="H94" s="15">
        <v>6552878.42</v>
      </c>
      <c r="I94" s="21">
        <v>6427195.8</v>
      </c>
      <c r="J94" s="21">
        <v>6588080.91</v>
      </c>
    </row>
    <row r="95" customHeight="1" spans="1:10">
      <c r="A95" s="13"/>
      <c r="B95" s="42" t="s">
        <v>88</v>
      </c>
      <c r="C95" s="43">
        <f t="shared" ref="C95:J95" si="39">C93/C94*100</f>
        <v>164.878088649495</v>
      </c>
      <c r="D95" s="43">
        <f t="shared" si="39"/>
        <v>161.202632809329</v>
      </c>
      <c r="E95" s="43">
        <f t="shared" si="39"/>
        <v>154.286155495517</v>
      </c>
      <c r="F95" s="43">
        <f t="shared" si="39"/>
        <v>152.923957926622</v>
      </c>
      <c r="G95" s="44">
        <f t="shared" si="39"/>
        <v>155.549227601497</v>
      </c>
      <c r="H95" s="43">
        <f t="shared" si="39"/>
        <v>153.351516630153</v>
      </c>
      <c r="I95" s="43">
        <f t="shared" si="39"/>
        <v>165.598875329113</v>
      </c>
      <c r="J95" s="43">
        <f t="shared" si="39"/>
        <v>162.233117747183</v>
      </c>
    </row>
    <row r="96" ht="38" customHeight="1" spans="1:10">
      <c r="A96" s="45">
        <v>30</v>
      </c>
      <c r="B96" s="46" t="s">
        <v>89</v>
      </c>
      <c r="C96" s="47">
        <v>840949.64</v>
      </c>
      <c r="D96" s="47">
        <v>840540.76</v>
      </c>
      <c r="E96" s="47">
        <v>846049.69</v>
      </c>
      <c r="F96" s="48">
        <v>794308.72</v>
      </c>
      <c r="G96" s="49">
        <v>1010197.68</v>
      </c>
      <c r="H96" s="48">
        <v>1101036.48</v>
      </c>
      <c r="I96" s="48">
        <v>1229676.79</v>
      </c>
      <c r="J96" s="48">
        <v>1091722.29</v>
      </c>
    </row>
    <row r="97" customHeight="1" spans="1:10">
      <c r="A97" s="45"/>
      <c r="B97" s="50" t="s">
        <v>90</v>
      </c>
      <c r="C97" s="47">
        <v>11362223.79</v>
      </c>
      <c r="D97" s="47">
        <v>11847437.55</v>
      </c>
      <c r="E97" s="47">
        <v>11887047.27</v>
      </c>
      <c r="F97" s="48">
        <v>12508280.65</v>
      </c>
      <c r="G97" s="49">
        <v>13050675.84</v>
      </c>
      <c r="H97" s="48">
        <v>13076871.14</v>
      </c>
      <c r="I97" s="48">
        <v>13968380.21</v>
      </c>
      <c r="J97" s="48">
        <v>14162978.31</v>
      </c>
    </row>
    <row r="98" customHeight="1" spans="1:10">
      <c r="A98" s="51"/>
      <c r="B98" s="52" t="s">
        <v>91</v>
      </c>
      <c r="C98" s="53">
        <f t="shared" ref="C98:J98" si="40">C96/C97*100</f>
        <v>7.40127685867381</v>
      </c>
      <c r="D98" s="53">
        <f t="shared" si="40"/>
        <v>7.09470513309437</v>
      </c>
      <c r="E98" s="53">
        <f t="shared" si="40"/>
        <v>7.11740830824508</v>
      </c>
      <c r="F98" s="53">
        <f t="shared" si="40"/>
        <v>6.35026301556481</v>
      </c>
      <c r="G98" s="54">
        <f t="shared" si="40"/>
        <v>7.74057751786133</v>
      </c>
      <c r="H98" s="53">
        <f t="shared" si="40"/>
        <v>8.4197241695845</v>
      </c>
      <c r="I98" s="53">
        <f t="shared" si="40"/>
        <v>8.80328836638962</v>
      </c>
      <c r="J98" s="53">
        <f t="shared" si="40"/>
        <v>7.70828187478881</v>
      </c>
    </row>
    <row r="99" ht="30" customHeight="1" spans="1:10">
      <c r="A99" s="45">
        <v>31</v>
      </c>
      <c r="B99" s="46" t="s">
        <v>47</v>
      </c>
      <c r="C99" s="47">
        <f t="shared" ref="C99:J99" si="41">C48</f>
        <v>22328.49</v>
      </c>
      <c r="D99" s="47">
        <f t="shared" si="41"/>
        <v>50194.76</v>
      </c>
      <c r="E99" s="47">
        <f t="shared" si="41"/>
        <v>85400.07</v>
      </c>
      <c r="F99" s="47">
        <f t="shared" si="41"/>
        <v>101598.4</v>
      </c>
      <c r="G99" s="55">
        <f t="shared" si="41"/>
        <v>26212.41</v>
      </c>
      <c r="H99" s="47">
        <f t="shared" si="41"/>
        <v>61757.73</v>
      </c>
      <c r="I99" s="47">
        <f t="shared" si="41"/>
        <v>92608.69</v>
      </c>
      <c r="J99" s="47">
        <f t="shared" si="41"/>
        <v>112042.05</v>
      </c>
    </row>
    <row r="100" ht="27" customHeight="1" spans="1:10">
      <c r="A100" s="45"/>
      <c r="B100" s="50" t="s">
        <v>92</v>
      </c>
      <c r="C100" s="47" t="e">
        <f>(#REF!+C88)/2</f>
        <v>#REF!</v>
      </c>
      <c r="D100" s="47" t="e">
        <f>(D88+#REF!)/2</f>
        <v>#REF!</v>
      </c>
      <c r="E100" s="47" t="e">
        <f>(E88+#REF!)/2</f>
        <v>#REF!</v>
      </c>
      <c r="F100" s="48" t="e">
        <f>(F88+#REF!)/2</f>
        <v>#REF!</v>
      </c>
      <c r="G100" s="56">
        <f>(G88+F88)/2</f>
        <v>9432885.355</v>
      </c>
      <c r="H100" s="57">
        <f>(H88+F88)/2</f>
        <v>9525712.92</v>
      </c>
      <c r="I100" s="57">
        <f>(I88+F88)/2</f>
        <v>9655997.565</v>
      </c>
      <c r="J100" s="57">
        <f>(J88+F88)/2</f>
        <v>9583435.895</v>
      </c>
    </row>
    <row r="101" customHeight="1" spans="1:10">
      <c r="A101" s="51"/>
      <c r="B101" s="52" t="s">
        <v>93</v>
      </c>
      <c r="C101" s="53" t="e">
        <f>C99/C100*100*4</f>
        <v>#REF!</v>
      </c>
      <c r="D101" s="53" t="e">
        <f>D99/D100*100*2</f>
        <v>#REF!</v>
      </c>
      <c r="E101" s="53" t="e">
        <f>E99/E100*100*4/3</f>
        <v>#REF!</v>
      </c>
      <c r="F101" s="53" t="e">
        <f>F99/F100*100</f>
        <v>#REF!</v>
      </c>
      <c r="G101" s="54">
        <f>G99/G100*100*4</f>
        <v>1.11153306813406</v>
      </c>
      <c r="H101" s="53">
        <f>H99/H100*100*2</f>
        <v>1.29665318530301</v>
      </c>
      <c r="I101" s="53">
        <f>I99/I100*100*4/3</f>
        <v>1.27877262294373</v>
      </c>
      <c r="J101" s="53">
        <f>J99/J100*100</f>
        <v>1.16912192273813</v>
      </c>
    </row>
    <row r="102" customHeight="1" spans="1:10">
      <c r="A102" s="45">
        <v>32</v>
      </c>
      <c r="B102" s="46" t="s">
        <v>94</v>
      </c>
      <c r="C102" s="47">
        <v>18538.64</v>
      </c>
      <c r="D102" s="47">
        <v>38481.93</v>
      </c>
      <c r="E102" s="47">
        <v>44285.8</v>
      </c>
      <c r="F102" s="47">
        <v>54479</v>
      </c>
      <c r="G102" s="55">
        <v>15946.06</v>
      </c>
      <c r="H102" s="47">
        <v>32964.91</v>
      </c>
      <c r="I102" s="47">
        <v>32964.91</v>
      </c>
      <c r="J102" s="47">
        <v>49194.81</v>
      </c>
    </row>
    <row r="103" customHeight="1" spans="1:10">
      <c r="A103" s="45"/>
      <c r="B103" s="50" t="s">
        <v>92</v>
      </c>
      <c r="C103" s="47" t="e">
        <f>(#REF!+C88)/2</f>
        <v>#REF!</v>
      </c>
      <c r="D103" s="47" t="e">
        <f>(#REF!+D88)/2</f>
        <v>#REF!</v>
      </c>
      <c r="E103" s="47" t="e">
        <f>(#REF!+E88)/2</f>
        <v>#REF!</v>
      </c>
      <c r="F103" s="47" t="e">
        <f>(#REF!+F88)/2</f>
        <v>#REF!</v>
      </c>
      <c r="G103" s="49">
        <f t="shared" ref="G103:J103" si="42">G100</f>
        <v>9432885.355</v>
      </c>
      <c r="H103" s="48">
        <f t="shared" si="42"/>
        <v>9525712.92</v>
      </c>
      <c r="I103" s="48">
        <f t="shared" si="42"/>
        <v>9655997.565</v>
      </c>
      <c r="J103" s="48">
        <f t="shared" si="42"/>
        <v>9583435.895</v>
      </c>
    </row>
    <row r="104" customHeight="1" spans="1:10">
      <c r="A104" s="51"/>
      <c r="B104" s="52" t="s">
        <v>95</v>
      </c>
      <c r="C104" s="53" t="e">
        <f>C102/C103*100*4</f>
        <v>#REF!</v>
      </c>
      <c r="D104" s="53" t="e">
        <f>D102/D103*100*2</f>
        <v>#REF!</v>
      </c>
      <c r="E104" s="53" t="e">
        <f>E102/E103*100*4/3</f>
        <v>#REF!</v>
      </c>
      <c r="F104" s="53" t="e">
        <f>F102/F103*100</f>
        <v>#REF!</v>
      </c>
      <c r="G104" s="54">
        <f>G102/G103*100*4</f>
        <v>0.676190132706219</v>
      </c>
      <c r="H104" s="53">
        <f>H102/H103*100*2</f>
        <v>0.692124784293835</v>
      </c>
      <c r="I104" s="53">
        <f>I102/I103*100*4/3</f>
        <v>0.455190807966337</v>
      </c>
      <c r="J104" s="53">
        <f>J102/J103*100</f>
        <v>0.513331654106087</v>
      </c>
    </row>
    <row r="105" customHeight="1" spans="1:10">
      <c r="A105" s="45">
        <v>32</v>
      </c>
      <c r="B105" s="46" t="s">
        <v>96</v>
      </c>
      <c r="C105" s="47">
        <v>18538.64</v>
      </c>
      <c r="D105" s="47">
        <v>38481.93</v>
      </c>
      <c r="E105" s="47">
        <v>44285.8</v>
      </c>
      <c r="F105" s="47">
        <v>219702.48</v>
      </c>
      <c r="G105" s="55">
        <v>61724.37</v>
      </c>
      <c r="H105" s="47">
        <v>125131.24</v>
      </c>
      <c r="I105" s="47">
        <v>188444.56</v>
      </c>
      <c r="J105" s="47">
        <v>254314.57</v>
      </c>
    </row>
    <row r="106" customHeight="1" spans="1:10">
      <c r="A106" s="45"/>
      <c r="B106" s="50" t="s">
        <v>97</v>
      </c>
      <c r="C106" s="47" t="e">
        <f>(#REF!+C91)/2</f>
        <v>#REF!</v>
      </c>
      <c r="D106" s="47" t="e">
        <f>(#REF!+D91)/2</f>
        <v>#REF!</v>
      </c>
      <c r="E106" s="47" t="e">
        <f>(#REF!+E91)/2</f>
        <v>#REF!</v>
      </c>
      <c r="F106" s="47">
        <v>12587223.05</v>
      </c>
      <c r="G106" s="49">
        <v>13708585.56</v>
      </c>
      <c r="H106" s="48">
        <v>13583556.43</v>
      </c>
      <c r="I106" s="48">
        <v>14031354.81</v>
      </c>
      <c r="J106" s="48">
        <v>14164402.93</v>
      </c>
    </row>
    <row r="107" customHeight="1" spans="1:10">
      <c r="A107" s="51"/>
      <c r="B107" s="52" t="s">
        <v>95</v>
      </c>
      <c r="C107" s="53" t="e">
        <f>C105/C106*100*4</f>
        <v>#REF!</v>
      </c>
      <c r="D107" s="53" t="e">
        <f>D105/D106*100*2</f>
        <v>#REF!</v>
      </c>
      <c r="E107" s="53" t="e">
        <f>E105/E106*100*4/3</f>
        <v>#REF!</v>
      </c>
      <c r="F107" s="53">
        <f>F105/F106*100</f>
        <v>1.74544042897532</v>
      </c>
      <c r="G107" s="54">
        <f>G105/G106*100*4</f>
        <v>1.80104270363543</v>
      </c>
      <c r="H107" s="53">
        <f>H105/H106*100*2</f>
        <v>1.84239290564054</v>
      </c>
      <c r="I107" s="53">
        <f>I105/I106*100*4/3</f>
        <v>1.79069959198996</v>
      </c>
      <c r="J107" s="53">
        <f>J105/J106*100</f>
        <v>1.79544857101859</v>
      </c>
    </row>
  </sheetData>
  <mergeCells count="36">
    <mergeCell ref="A1:B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</mergeCells>
  <pageMargins left="0.94488188976378" right="0.15748031496063" top="0.984251968503937" bottom="1.18110236220472" header="0.511811023622047" footer="0.511811023622047"/>
  <pageSetup paperSize="9" scale="87" fitToHeight="0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季末监管指标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2023-05-12T11:15:00Z</dcterms:created>
  <dcterms:modified xsi:type="dcterms:W3CDTF">2026-03-03T03:53:02Z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224CA78326E5474392AFF2B601845C08_12</vt:lpwstr>
  </property>
  <property fmtid="{D5CDD505-2E9C-101B-9397-08002B2CF9AE}" pid="4" name="CalculationRule">
    <vt:i4>0</vt:i4>
  </property>
</Properties>
</file>