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单体" sheetId="4" r:id="rId1"/>
    <sheet name="集团 " sheetId="6" r:id="rId2"/>
  </sheets>
  <definedNames>
    <definedName name="_xlnm._FilterDatabase" localSheetId="0" hidden="1">单体!$A$3:$AC$179</definedName>
    <definedName name="_xlnm._FilterDatabase" localSheetId="1" hidden="1">'集团 '!$A$3:$AC$125</definedName>
    <definedName name="_xlnm.Print_Titles" localSheetId="0">单体!$1:$3</definedName>
    <definedName name="_xlnm.Print_Titles" localSheetId="1">'集团 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<sst xmlns="http://schemas.openxmlformats.org/spreadsheetml/2006/main" count="367" uniqueCount="325">
  <si>
    <t>2025年同业业务（金融机构）集中授信申报表</t>
  </si>
  <si>
    <t>单位:人民币、亿元     授信期限：1年</t>
  </si>
  <si>
    <t>授信总额</t>
  </si>
  <si>
    <t>存放同业</t>
  </si>
  <si>
    <t>质押式调剂</t>
  </si>
  <si>
    <t>同业拆出</t>
  </si>
  <si>
    <t>买入返售</t>
  </si>
  <si>
    <t>收益凭证</t>
  </si>
  <si>
    <t>债券</t>
  </si>
  <si>
    <t>同业理财</t>
  </si>
  <si>
    <t>票据贴现/转贴现</t>
  </si>
  <si>
    <t>债券借贷</t>
  </si>
  <si>
    <t>同业存单</t>
  </si>
  <si>
    <t>信贷资产转让</t>
  </si>
  <si>
    <t>财政存款支付担保</t>
  </si>
  <si>
    <t>资产管理计划</t>
  </si>
  <si>
    <t>代签银行授信担保</t>
  </si>
  <si>
    <t>资产管理</t>
  </si>
  <si>
    <t>再贷款担保</t>
  </si>
  <si>
    <t>银行间外汇交易</t>
  </si>
  <si>
    <t>投资顾问</t>
  </si>
  <si>
    <t>信托计划</t>
  </si>
  <si>
    <t>同业外汇</t>
  </si>
  <si>
    <t>同业外汇贸易综合类业务</t>
  </si>
  <si>
    <t>同业借款</t>
  </si>
  <si>
    <t>货币基金</t>
  </si>
  <si>
    <t>债券基金</t>
  </si>
  <si>
    <t>北京农村商业银行股份有限公司</t>
  </si>
  <si>
    <t>渤海银行股份有限公司</t>
  </si>
  <si>
    <t>成都银行股份有限公司</t>
  </si>
  <si>
    <t>东莞农村商业银行股份有限公司</t>
  </si>
  <si>
    <t>东莞银行股份有限公司</t>
  </si>
  <si>
    <t>佛山农村商业银行股份有限公司</t>
  </si>
  <si>
    <t>广东南海农村商业银行股份有限公司</t>
  </si>
  <si>
    <t>广东顺德农村商业银行股份有限公司</t>
  </si>
  <si>
    <t>广发基金管理有限公司</t>
  </si>
  <si>
    <t>广发银行股份有限公司</t>
  </si>
  <si>
    <t>广发证券资产管理（广东）有限公司</t>
  </si>
  <si>
    <t>广州农村商业银行股份有限公司</t>
  </si>
  <si>
    <t>广州银行股份有限公司</t>
  </si>
  <si>
    <t>贵阳银行股份有限公司</t>
  </si>
  <si>
    <t>国家开发银行</t>
  </si>
  <si>
    <t>国寿安保基金管理有限公司</t>
  </si>
  <si>
    <t>杭州联合农村商业银行股份有限公司</t>
  </si>
  <si>
    <t>湖北银行股份有限公司</t>
  </si>
  <si>
    <t>湖州吴兴农村商业银行股份有限公司</t>
  </si>
  <si>
    <t>华西证券股份有限公司</t>
  </si>
  <si>
    <t>华夏银行股份有限公司</t>
  </si>
  <si>
    <t>徽商银行股份有限公司</t>
  </si>
  <si>
    <t>嘉实基金管理有限公司</t>
  </si>
  <si>
    <t>江苏常熟农村商业银行股份有限公司</t>
  </si>
  <si>
    <t>江苏江南农村商业银行股份有限公司</t>
  </si>
  <si>
    <t>江苏江阴农村商业银行股份有限公司</t>
  </si>
  <si>
    <t>江苏昆山农村商业银行股份有限公司</t>
  </si>
  <si>
    <t>江苏苏州农村商业银行股份有限公司</t>
  </si>
  <si>
    <t>江苏张家港农村商业银行股份有限公司</t>
  </si>
  <si>
    <t>江苏紫金农村商业银行股份有限公司</t>
  </si>
  <si>
    <t>江西银行股份有限公司</t>
  </si>
  <si>
    <t>晋商银行股份有限公司</t>
  </si>
  <si>
    <t>宁波慈溪农村商业银行股份有限公司</t>
  </si>
  <si>
    <t>宁波通商银行股份有限公司</t>
  </si>
  <si>
    <t>宁波鄞州农村商业银行股份有限公司</t>
  </si>
  <si>
    <t>宁波甬城农村商业银行股份有限公司</t>
  </si>
  <si>
    <t>宁波余姚农村商业银行股份有限公司</t>
  </si>
  <si>
    <t>宁波镇海农村商业银行股份有限公司</t>
  </si>
  <si>
    <t>诺安基金管理有限公司</t>
  </si>
  <si>
    <t>青岛农村商业银行股份有限公司</t>
  </si>
  <si>
    <t>青岛银行股份有限公司</t>
  </si>
  <si>
    <t>厦门农村商业银行股份有限公司</t>
  </si>
  <si>
    <t>厦门银行股份有限公司</t>
  </si>
  <si>
    <t>深圳农村商业银行股份有限公司</t>
  </si>
  <si>
    <t>深圳前海微众银行股份有限公司</t>
  </si>
  <si>
    <t>苏州银行股份有限公司</t>
  </si>
  <si>
    <t>天弘基金管理有限公司</t>
  </si>
  <si>
    <t>万家基金管理有限公司</t>
  </si>
  <si>
    <t>温州银行股份有限公司</t>
  </si>
  <si>
    <t>无锡农村商业银行股份有限公司</t>
  </si>
  <si>
    <t>西安银行股份有限公司</t>
  </si>
  <si>
    <t>易方达基金管理有限公司</t>
  </si>
  <si>
    <t>银河基金管理有限公司</t>
  </si>
  <si>
    <t>长江证券（上海）资产管理有限公司</t>
  </si>
  <si>
    <t>浙江安吉农村商业银行股份有限公司</t>
  </si>
  <si>
    <t>浙江苍南农村商业银行股份有限公司</t>
  </si>
  <si>
    <t>浙江德清农村商业银行股份有限公司</t>
  </si>
  <si>
    <t>浙江东阳农村商业银行股份有限公司</t>
  </si>
  <si>
    <t>浙江富阳农村商业银行股份有限公司</t>
  </si>
  <si>
    <t>浙江海宁农村商业银行股份有限公司</t>
  </si>
  <si>
    <t>浙江海盐农村商业银行股份有限公司</t>
  </si>
  <si>
    <t>浙江杭州余杭农村商业银行股份有限公司</t>
  </si>
  <si>
    <t>浙江禾城农村商业银行股份有限公司</t>
  </si>
  <si>
    <t>浙江建德农村商业银行股份有限公司</t>
  </si>
  <si>
    <t>浙江江山农村商业银行股份有限公司</t>
  </si>
  <si>
    <t>浙江金华成泰农村商业银行股份有限公司</t>
  </si>
  <si>
    <t>浙江兰溪农村商业银行股份有限公司</t>
  </si>
  <si>
    <t>浙江乐清农村商业银行股份有限公司</t>
  </si>
  <si>
    <t>浙江丽水莲都农村商业银行股份有限公司</t>
  </si>
  <si>
    <t>浙江临海农村商业银行股份有限公司</t>
  </si>
  <si>
    <t>浙江南浔农村商业银行股份有限公司</t>
  </si>
  <si>
    <t>浙江磐安农村商业银行股份有限公司</t>
  </si>
  <si>
    <t>浙江浦江农村商业银行股份有限公司</t>
  </si>
  <si>
    <t>浙江青田农村商业银行股份有限公司</t>
  </si>
  <si>
    <t>浙江庆元农村商业银行股份有限公司</t>
  </si>
  <si>
    <t>浙江瑞安农村商业银行股份有限公司</t>
  </si>
  <si>
    <t>浙江三门农村商业银行股份有限公司</t>
  </si>
  <si>
    <t>浙江上虞农村商业银行股份有限公司</t>
  </si>
  <si>
    <t>浙江绍兴瑞丰农村商业银行股份有限公司</t>
  </si>
  <si>
    <t>浙江农商联合银行</t>
  </si>
  <si>
    <t>浙江嵊泗农村商业银行股份有限公司</t>
  </si>
  <si>
    <t>浙江嵊州农村商业银行股份有限公司</t>
  </si>
  <si>
    <t>浙江松阳农村商业银行股份有限公司</t>
  </si>
  <si>
    <t>浙江台州黄岩农村商业银行股份有限公司</t>
  </si>
  <si>
    <t>浙江台州椒江农村商业银行股份有限公司</t>
  </si>
  <si>
    <t>浙江台州路桥农村商业银行股份有限公司</t>
  </si>
  <si>
    <t>浙江泰隆商业银行股份有限公司</t>
  </si>
  <si>
    <t>浙江泰顺农村商业银行股份有限公司</t>
  </si>
  <si>
    <t>浙江桐乡农村商业银行股份有限公司</t>
  </si>
  <si>
    <t>浙江温岭农村商业银行股份有限公司</t>
  </si>
  <si>
    <t>浙江温州龙湾农村商业银行股份有限公司</t>
  </si>
  <si>
    <t>浙江温州鹿城农村商业银行股份有限公司</t>
  </si>
  <si>
    <t>浙江温州瓯海农村商业银行股份有限公司</t>
  </si>
  <si>
    <t>浙江仙居农村商业银行股份有限公司</t>
  </si>
  <si>
    <t>浙江萧山农村商业银行股份有限公司</t>
  </si>
  <si>
    <t>浙江新昌农村商业银行股份有限公司</t>
  </si>
  <si>
    <t>浙江永嘉农村商业银行股份有限公司</t>
  </si>
  <si>
    <t>浙江永康农村商业银行股份有限公司</t>
  </si>
  <si>
    <t>浙江玉环农村商业银行股份有限公司</t>
  </si>
  <si>
    <t>浙江长兴农村商业银行股份有限公司</t>
  </si>
  <si>
    <t>浙江舟山定海海洋农村商业银行股份有限公司</t>
  </si>
  <si>
    <t>浙江诸暨农村商业银行股份有限公司</t>
  </si>
  <si>
    <t>郑州银行股份有限公司</t>
  </si>
  <si>
    <t>中国进出口银行</t>
  </si>
  <si>
    <t>中国农业发展银行</t>
  </si>
  <si>
    <t>中海信托股份有限公司</t>
  </si>
  <si>
    <t>中山农村商业银行股份有限公司</t>
  </si>
  <si>
    <t>中泰证券（上海）资产管理有限公司</t>
  </si>
  <si>
    <t>中信建投证券股份有限公司</t>
  </si>
  <si>
    <t>重庆银行股份有限公司</t>
  </si>
  <si>
    <t>珠海华润银行股份有限公司</t>
  </si>
  <si>
    <t>国泰基金管理有限公司</t>
  </si>
  <si>
    <t>新华基金管理股份有限公司</t>
  </si>
  <si>
    <t>浙江云和农村商业银行股份有限公司</t>
  </si>
  <si>
    <t>中信消费金融有限公司</t>
  </si>
  <si>
    <t>天风证券股份有限公司</t>
  </si>
  <si>
    <t>信达证券股份有限公司</t>
  </si>
  <si>
    <t>中国长城资产管理股份有限公司</t>
  </si>
  <si>
    <t>华润深国投信托有限公司</t>
  </si>
  <si>
    <t>华鑫国际信托有限公司</t>
  </si>
  <si>
    <t>江苏省国际信托有限责任公司</t>
  </si>
  <si>
    <t>财通证券资产管理有限公司</t>
  </si>
  <si>
    <t>万联证券股份有限公司</t>
  </si>
  <si>
    <t>中原证券股份有限公司</t>
  </si>
  <si>
    <t>山西证券股份有限公司</t>
  </si>
  <si>
    <t>浙江绍兴恒信农村商业银行股份有限公司</t>
  </si>
  <si>
    <t>中国银河证券股份有限公司</t>
  </si>
  <si>
    <t>国金证券股份有限公司</t>
  </si>
  <si>
    <t>浙商金汇信托股份有限公司</t>
  </si>
  <si>
    <t>百瑞信托有限责任公司</t>
  </si>
  <si>
    <t>宁波奉化农村商业银行股份有限公司</t>
  </si>
  <si>
    <t>浙江嘉善农村商业银行股份有限公司</t>
  </si>
  <si>
    <t>浙江武义农村商业银行股份有限公司</t>
  </si>
  <si>
    <t>国投瑞银基金管理有限公司</t>
  </si>
  <si>
    <t>华富基金管理有限公司</t>
  </si>
  <si>
    <t>浙江常山农村商业银行股份有限公司</t>
  </si>
  <si>
    <t>恒丰银行股份有限公司</t>
  </si>
  <si>
    <t>浙江遂昌农村商业银行股份有限公司</t>
  </si>
  <si>
    <t>西部利得基金管理有限公司</t>
  </si>
  <si>
    <t>长城基金管理有限公司</t>
  </si>
  <si>
    <t>景顺长城基金管理有限公司</t>
  </si>
  <si>
    <t>鹏扬基金管理有限公司</t>
  </si>
  <si>
    <t>财通基金管理有限公司</t>
  </si>
  <si>
    <t>中信建投基金管理有限公司</t>
  </si>
  <si>
    <t>浙江舟山普陀农村商业银行股份有限公司</t>
  </si>
  <si>
    <t>华安证券股份有限公司</t>
  </si>
  <si>
    <t>信达澳亚基金管理有限公司</t>
  </si>
  <si>
    <t>长盛基金管理有限公司</t>
  </si>
  <si>
    <t>长信基金管理有限责任公司</t>
  </si>
  <si>
    <t>中信保诚基金管理有限公司</t>
  </si>
  <si>
    <t>方正富邦基金管理有限公司</t>
  </si>
  <si>
    <t>浙江开化农村商业银行股份有限公司</t>
  </si>
  <si>
    <t>浙江衢州衢江农村商业银行股份有限公司</t>
  </si>
  <si>
    <t>浙江岱山农村商业银行股份有限公司</t>
  </si>
  <si>
    <t>国联民生证券股份有限公司</t>
  </si>
  <si>
    <t>诺德基金管理有限公司</t>
  </si>
  <si>
    <t>创金合信基金管理有限公司</t>
  </si>
  <si>
    <t>浙江淳安农村商业银行股份有限公司</t>
  </si>
  <si>
    <t>浙江天台农村商业银行股份有限公司</t>
  </si>
  <si>
    <t>象山县农村信用合作联社</t>
  </si>
  <si>
    <t>浙江平湖农村商业银行股份有限公司</t>
  </si>
  <si>
    <t>浙江平阳农村商业银行股份有限公司</t>
  </si>
  <si>
    <t>浙江龙泉农村商业银行股份有限公司</t>
  </si>
  <si>
    <t>浙江缙云农村商业银行股份有限公司</t>
  </si>
  <si>
    <t>宁波宁海农村商业银行股份有限公司</t>
  </si>
  <si>
    <t>浙江衢州柯城农村商业银行股份有限公司</t>
  </si>
  <si>
    <t>融通基金管理有限公司</t>
  </si>
  <si>
    <t>华融金融租赁股份有限公司</t>
  </si>
  <si>
    <t>东方基金管理股份有限公司</t>
  </si>
  <si>
    <t>浙江龙游义商村镇银行股份有限公司</t>
  </si>
  <si>
    <t>合计：</t>
  </si>
  <si>
    <t xml:space="preserve">金融市场部意见                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</si>
  <si>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</si>
  <si>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</si>
  <si>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</si>
  <si>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</si>
  <si>
    <t>2025年同业业务（金融机构）集团授信集中申报表</t>
  </si>
  <si>
    <t>序号</t>
  </si>
  <si>
    <t>集团客户母公司</t>
  </si>
  <si>
    <t>集团授信额度</t>
  </si>
  <si>
    <t>机构</t>
  </si>
  <si>
    <t>北京银行股份有限公司</t>
  </si>
  <si>
    <t>中加基金管理有限公司</t>
  </si>
  <si>
    <t>东方证券股份有限公司</t>
  </si>
  <si>
    <t>汇添富基金管理股份有限公司</t>
  </si>
  <si>
    <t>上海东方证券资产管理有限公司</t>
  </si>
  <si>
    <t>国泰海通证券股份有限公司</t>
  </si>
  <si>
    <t>华安基金管理有限公司</t>
  </si>
  <si>
    <t>上海国泰海通证券资产管理有限公司</t>
  </si>
  <si>
    <t>上海证券有限责任公司</t>
  </si>
  <si>
    <t>海富通基金管理有限公司</t>
  </si>
  <si>
    <t>国信证券股份有限公司</t>
  </si>
  <si>
    <t>鹏华基金管理有限公司</t>
  </si>
  <si>
    <t>华宝基金管理有限公司</t>
  </si>
  <si>
    <t>华宝信托有限责任公司</t>
  </si>
  <si>
    <t>华福证券有限责任公司</t>
  </si>
  <si>
    <t>兴银基金管理有限责任公司</t>
  </si>
  <si>
    <t>华泰柏瑞基金管理有限公司</t>
  </si>
  <si>
    <t>华泰证券股份有限公司</t>
  </si>
  <si>
    <t>南方基金管理股份有限公司</t>
  </si>
  <si>
    <t>南京银行股份有限公司</t>
  </si>
  <si>
    <t>鑫元基金管理有限公司</t>
  </si>
  <si>
    <t>南银法巴消费金融有限公司</t>
  </si>
  <si>
    <t>江苏金融租赁股份有限公司</t>
  </si>
  <si>
    <t>申万宏源证券有限公司</t>
  </si>
  <si>
    <t>申万宏源资产管理有限公司</t>
  </si>
  <si>
    <t>申万菱信基金管理有限公司</t>
  </si>
  <si>
    <t>国联安基金管理有限公司</t>
  </si>
  <si>
    <t>太平洋资产管理有限责任公司</t>
  </si>
  <si>
    <t>西南证券股份有限公司</t>
  </si>
  <si>
    <t>银华基金管理股份有限公司</t>
  </si>
  <si>
    <t>兴业证券股份有限公司</t>
  </si>
  <si>
    <t>兴证全球基金管理有限公司</t>
  </si>
  <si>
    <t>兴证证券资产管理有限公司</t>
  </si>
  <si>
    <t>长沙银行股份有限公司</t>
  </si>
  <si>
    <t>湖南长银五八消费金融股份有限公司</t>
  </si>
  <si>
    <t>招联消费金融股份有限公司</t>
  </si>
  <si>
    <t>招商银行股份有限公司</t>
  </si>
  <si>
    <t>台州银行股份有限公司</t>
  </si>
  <si>
    <t>招商金融租赁有限公司</t>
  </si>
  <si>
    <t>博时基金管理有限公司</t>
  </si>
  <si>
    <t>招商证券股份有限公司</t>
  </si>
  <si>
    <t>浙江稠州金融租赁有限公司</t>
  </si>
  <si>
    <t>浙江稠州商业银行股份有限公司</t>
  </si>
  <si>
    <t>浙商银行股份有限公司</t>
  </si>
  <si>
    <t>浙江浙银金融租赁股份有限公司</t>
  </si>
  <si>
    <t>浙江浙商证券资产管理有限公司</t>
  </si>
  <si>
    <t>浙商基金管理有限公司</t>
  </si>
  <si>
    <t>浙商证券股份有限公司</t>
  </si>
  <si>
    <t>光大理财有限责任公司</t>
  </si>
  <si>
    <t>光大金融租赁股份有限公司</t>
  </si>
  <si>
    <t>中国光大银行股份有限公司</t>
  </si>
  <si>
    <t>中国邮政储蓄银行股份有限公司</t>
  </si>
  <si>
    <t>中邮消费金融有限公司</t>
  </si>
  <si>
    <t>中原银行股份有限公司</t>
  </si>
  <si>
    <t>河南中原消费金融股份有限公司</t>
  </si>
  <si>
    <t>大成基金管理有限公司</t>
  </si>
  <si>
    <t>光大保德信基金管理有限公司</t>
  </si>
  <si>
    <t>上海光大证券资产管理有限公司</t>
  </si>
  <si>
    <t>光大证券股份有限公司</t>
  </si>
  <si>
    <t>交通银行股份有限公司</t>
  </si>
  <si>
    <t>交银施罗德基金管理有限公司</t>
  </si>
  <si>
    <t>交银国际信托有限公司</t>
  </si>
  <si>
    <t>宁波银行股份有限公司</t>
  </si>
  <si>
    <t>永赢基金管理有限公司</t>
  </si>
  <si>
    <t>永赢金融租赁有限公司</t>
  </si>
  <si>
    <t>浙江宁银消费金融股份有限公司</t>
  </si>
  <si>
    <t>浦银安盛基金管理有限公司</t>
  </si>
  <si>
    <t>上海国际信托有限公司</t>
  </si>
  <si>
    <t>上海浦东发展银行股份有限公司</t>
  </si>
  <si>
    <t>上海尚诚消费金融股份有限公司</t>
  </si>
  <si>
    <t>上海银行股份有限公司</t>
  </si>
  <si>
    <t>上银基金管理有限公司</t>
  </si>
  <si>
    <t>兴业基金管理有限公司</t>
  </si>
  <si>
    <t>兴业消费金融股份公司</t>
  </si>
  <si>
    <t>兴业银行股份有限公司</t>
  </si>
  <si>
    <t>工银金融租赁有限公司</t>
  </si>
  <si>
    <t>工银瑞信基金管理有限公司</t>
  </si>
  <si>
    <t>中国工商银行股份有限公司</t>
  </si>
  <si>
    <t>建信基金管理有限责任公司</t>
  </si>
  <si>
    <t>建信信托有限责任公司</t>
  </si>
  <si>
    <t>中国建设银行股份有限公司</t>
  </si>
  <si>
    <t>建信金融租赁有限公司</t>
  </si>
  <si>
    <t>农银汇理基金管理有限公司</t>
  </si>
  <si>
    <t>中国农业银行股份有限公司</t>
  </si>
  <si>
    <t>平安基金管理有限公司</t>
  </si>
  <si>
    <t>平安银行股份有限公司</t>
  </si>
  <si>
    <t>中国平安保险（集团）股份有限公司</t>
  </si>
  <si>
    <t>平安证券股份有限公司</t>
  </si>
  <si>
    <t>中国银行股份有限公司</t>
  </si>
  <si>
    <t>中银基金管理有限公司</t>
  </si>
  <si>
    <t>华夏基金管理有限公司</t>
  </si>
  <si>
    <t>中信证券资产管理有限公司</t>
  </si>
  <si>
    <t>中信证券股份有限公司</t>
  </si>
  <si>
    <t>中信银行股份有限公司</t>
  </si>
  <si>
    <t>中信金融租赁有限公司</t>
  </si>
  <si>
    <t>民生加银基金管理有限公司</t>
  </si>
  <si>
    <t>中国民生银行股份有限公司</t>
  </si>
  <si>
    <t>杭银消费金融股份有限公司</t>
  </si>
  <si>
    <t>杭州银行股份有限公司</t>
  </si>
  <si>
    <t>江苏银行股份有限公司</t>
  </si>
  <si>
    <t>苏银凯基消费金融有限公司</t>
  </si>
  <si>
    <t>苏银金融租赁股份有限公司</t>
  </si>
  <si>
    <t>上海农村商业银行股份有限公司</t>
  </si>
  <si>
    <t>长江联合金融租赁有限公司</t>
  </si>
  <si>
    <t>国海富兰克林基金管理有限公司</t>
  </si>
  <si>
    <t>国海证券股份有限公司</t>
  </si>
  <si>
    <t>东兴证券股份有限公司</t>
  </si>
  <si>
    <t>东兴基金管理有限公司</t>
  </si>
  <si>
    <t>中国国际金融股份有限公司</t>
  </si>
  <si>
    <t>中金基金管理有限公司</t>
  </si>
  <si>
    <t>重庆农村商业银行股份有限公司</t>
  </si>
  <si>
    <t>重庆小米消费金融有限公司</t>
  </si>
  <si>
    <t>华商基金管理有限公司</t>
  </si>
  <si>
    <t>华龙证券股份有限公司</t>
  </si>
  <si>
    <t>华夏金融租赁有限公司</t>
  </si>
  <si>
    <t xml:space="preserve">   </t>
  </si>
  <si>
    <t xml:space="preserve">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</si>
</sst>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8"/>
      <name val="黑体"/>
      <charset val="134"/>
    </font>
    <font>
      <sz val="12"/>
      <name val="黑体"/>
      <charset val="134"/>
    </font>
    <font>
      <b/>
      <sz val="12"/>
      <name val="宋体"/>
      <charset val="134"/>
    </font>
    <font>
      <sz val="8"/>
      <name val="宋体"/>
      <charset val="134"/>
    </font>
    <font>
      <sz val="10"/>
      <name val="黑体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20"/>
      <name val="宋体"/>
      <charset val="134"/>
    </font>
    <font>
      <sz val="9"/>
      <name val="宋体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14" fontId="8" fillId="0" borderId="3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14" fontId="11" fillId="0" borderId="3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4" fontId="8" fillId="0" borderId="8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vertical="top" wrapText="1"/>
    </xf>
    <xf numFmtId="0" fontId="12" fillId="0" borderId="8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0" fontId="13" fillId="0" borderId="2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vertical="top"/>
    </xf>
    <xf numFmtId="0" fontId="12" fillId="0" borderId="4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C179"/>
  <sheetViews>
    <sheetView tabSelected="1" view="pageBreakPreview" zoomScaleNormal="100" workbookViewId="0">
      <pane xSplit="2" ySplit="3" topLeftCell="C100" activePane="bottomRight" state="frozen"/>
      <selection/>
      <selection pane="topRight"/>
      <selection pane="bottomLeft"/>
      <selection pane="bottomRight" activeCell="O101" sqref="O101"/>
    </sheetView>
  </sheetViews>
  <sheetFormatPr defaultColWidth="10" defaultRowHeight="15"/>
  <cols>
    <col min="1" max="1" width="10" style="1"/>
    <col min="2" max="2" width="9.90909090909091" style="2" customWidth="1"/>
    <col min="3" max="3" width="14" style="2" customWidth="1"/>
    <col min="4" max="4" width="15.2727272727273" style="1" customWidth="1"/>
    <col min="5" max="28" width="10" style="1"/>
    <col min="29" max="29" width="14" style="1"/>
    <col min="30" max="16384" width="10" style="1"/>
  </cols>
  <sheetData>
    <row r="1" ht="23" spans="1:29">
      <c r="A1" s="3" t="s">
        <v>0</v>
      </c>
      <c r="B1" s="6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9">
      <c r="A2" s="7"/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 t="s">
        <v>1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7"/>
    </row>
    <row r="3" ht="39" spans="1:29">
      <c r="A3" s="13"/>
      <c r="B3" s="57"/>
      <c r="C3" s="57"/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12" t="s">
        <v>17</v>
      </c>
      <c r="T3" s="12" t="s">
        <v>18</v>
      </c>
      <c r="U3" s="12" t="s">
        <v>19</v>
      </c>
      <c r="V3" s="12" t="s">
        <v>20</v>
      </c>
      <c r="W3" s="12" t="s">
        <v>21</v>
      </c>
      <c r="X3" s="12" t="s">
        <v>22</v>
      </c>
      <c r="Y3" s="12" t="s">
        <v>23</v>
      </c>
      <c r="Z3" s="12" t="s">
        <v>24</v>
      </c>
      <c r="AA3" s="12" t="s">
        <v>25</v>
      </c>
      <c r="AB3" s="12" t="s">
        <v>26</v>
      </c>
    </row>
    <row r="4" ht="60" spans="1:29">
      <c r="A4" s="48">
        <v>1</v>
      </c>
      <c r="B4" s="30" t="s">
        <v>27</v>
      </c>
      <c r="C4" s="31">
        <v>45824</v>
      </c>
      <c r="D4" s="45">
        <f t="shared" ref="D4:D67" si="0">SUM(E4:AB4)</f>
        <v>6</v>
      </c>
      <c r="E4" s="45"/>
      <c r="F4" s="45"/>
      <c r="G4" s="45"/>
      <c r="H4" s="45"/>
      <c r="I4" s="45"/>
      <c r="J4" s="45"/>
      <c r="K4" s="45"/>
      <c r="L4" s="45">
        <v>1</v>
      </c>
      <c r="M4" s="45"/>
      <c r="N4" s="45">
        <v>5</v>
      </c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8"/>
      <c r="AC4" s="31">
        <v>45824</v>
      </c>
    </row>
    <row r="5" ht="45" spans="1:29">
      <c r="A5" s="48">
        <v>2</v>
      </c>
      <c r="B5" s="30" t="s">
        <v>28</v>
      </c>
      <c r="C5" s="31">
        <v>45824</v>
      </c>
      <c r="D5" s="45">
        <f t="shared" si="0"/>
        <v>9</v>
      </c>
      <c r="E5" s="45"/>
      <c r="F5" s="45"/>
      <c r="G5" s="45"/>
      <c r="H5" s="45"/>
      <c r="I5" s="45"/>
      <c r="J5" s="45"/>
      <c r="K5" s="45"/>
      <c r="L5" s="45">
        <v>3</v>
      </c>
      <c r="M5" s="45"/>
      <c r="N5" s="45">
        <v>6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8"/>
      <c r="AC5" s="31">
        <v>45824</v>
      </c>
    </row>
    <row r="6" ht="45" spans="1:29">
      <c r="A6" s="48">
        <v>3</v>
      </c>
      <c r="B6" s="30" t="s">
        <v>29</v>
      </c>
      <c r="C6" s="31">
        <v>45824</v>
      </c>
      <c r="D6" s="45">
        <f t="shared" si="0"/>
        <v>3</v>
      </c>
      <c r="E6" s="45"/>
      <c r="F6" s="45"/>
      <c r="G6" s="45"/>
      <c r="H6" s="45"/>
      <c r="I6" s="45"/>
      <c r="J6" s="45"/>
      <c r="K6" s="45"/>
      <c r="L6" s="45"/>
      <c r="M6" s="45"/>
      <c r="N6" s="45">
        <v>3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8"/>
      <c r="AC6" s="31">
        <v>45824</v>
      </c>
    </row>
    <row r="7" ht="60" spans="1:29">
      <c r="A7" s="48">
        <v>4</v>
      </c>
      <c r="B7" s="30" t="s">
        <v>30</v>
      </c>
      <c r="C7" s="31">
        <v>45824</v>
      </c>
      <c r="D7" s="45">
        <f t="shared" si="0"/>
        <v>4</v>
      </c>
      <c r="E7" s="45"/>
      <c r="F7" s="45"/>
      <c r="G7" s="45"/>
      <c r="H7" s="45"/>
      <c r="I7" s="45"/>
      <c r="J7" s="45"/>
      <c r="K7" s="45"/>
      <c r="L7" s="45"/>
      <c r="M7" s="45"/>
      <c r="N7" s="45">
        <v>4</v>
      </c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8"/>
      <c r="AC7" s="31">
        <v>45824</v>
      </c>
    </row>
    <row r="8" ht="45" spans="1:29">
      <c r="A8" s="48">
        <v>5</v>
      </c>
      <c r="B8" s="30" t="s">
        <v>31</v>
      </c>
      <c r="C8" s="31">
        <v>45824</v>
      </c>
      <c r="D8" s="45">
        <f t="shared" si="0"/>
        <v>4</v>
      </c>
      <c r="E8" s="45"/>
      <c r="F8" s="45"/>
      <c r="G8" s="45"/>
      <c r="H8" s="45">
        <v>2</v>
      </c>
      <c r="I8" s="45"/>
      <c r="J8" s="45"/>
      <c r="K8" s="45"/>
      <c r="L8" s="45"/>
      <c r="M8" s="45"/>
      <c r="N8" s="45">
        <v>2</v>
      </c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8"/>
      <c r="AC8" s="31">
        <v>45824</v>
      </c>
    </row>
    <row r="9" ht="60" spans="1:29">
      <c r="A9" s="48">
        <v>6</v>
      </c>
      <c r="B9" s="30" t="s">
        <v>32</v>
      </c>
      <c r="C9" s="31">
        <v>45824</v>
      </c>
      <c r="D9" s="45">
        <f t="shared" si="0"/>
        <v>4</v>
      </c>
      <c r="E9" s="45"/>
      <c r="F9" s="45"/>
      <c r="G9" s="45"/>
      <c r="H9" s="45">
        <v>2</v>
      </c>
      <c r="I9" s="45"/>
      <c r="J9" s="45"/>
      <c r="K9" s="45"/>
      <c r="L9" s="45"/>
      <c r="M9" s="45"/>
      <c r="N9" s="45">
        <v>2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8"/>
      <c r="AC9" s="31">
        <v>45824</v>
      </c>
    </row>
    <row r="10" ht="60" spans="1:29">
      <c r="A10" s="48">
        <v>7</v>
      </c>
      <c r="B10" s="30" t="s">
        <v>33</v>
      </c>
      <c r="C10" s="31">
        <v>45824</v>
      </c>
      <c r="D10" s="45">
        <f t="shared" si="0"/>
        <v>3</v>
      </c>
      <c r="E10" s="45"/>
      <c r="F10" s="45"/>
      <c r="G10" s="45"/>
      <c r="H10" s="45"/>
      <c r="I10" s="45"/>
      <c r="J10" s="45"/>
      <c r="K10" s="45"/>
      <c r="L10" s="45"/>
      <c r="M10" s="45"/>
      <c r="N10" s="45">
        <v>3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8"/>
      <c r="AC10" s="31">
        <v>45824</v>
      </c>
    </row>
    <row r="11" ht="60" spans="1:29">
      <c r="A11" s="48">
        <v>8</v>
      </c>
      <c r="B11" s="30" t="s">
        <v>34</v>
      </c>
      <c r="C11" s="31">
        <v>45824</v>
      </c>
      <c r="D11" s="45">
        <f t="shared" si="0"/>
        <v>14</v>
      </c>
      <c r="E11" s="45"/>
      <c r="F11" s="45"/>
      <c r="G11" s="45"/>
      <c r="H11" s="45">
        <v>2</v>
      </c>
      <c r="I11" s="45"/>
      <c r="J11" s="45">
        <v>1</v>
      </c>
      <c r="K11" s="45"/>
      <c r="L11" s="45">
        <v>1</v>
      </c>
      <c r="M11" s="45">
        <v>5</v>
      </c>
      <c r="N11" s="45">
        <v>5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8"/>
      <c r="AC11" s="31">
        <v>45824</v>
      </c>
    </row>
    <row r="12" ht="45" spans="1:29">
      <c r="A12" s="48">
        <v>9</v>
      </c>
      <c r="B12" s="30" t="s">
        <v>35</v>
      </c>
      <c r="C12" s="31">
        <v>45824</v>
      </c>
      <c r="D12" s="45">
        <f t="shared" si="0"/>
        <v>8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>
        <v>5</v>
      </c>
      <c r="AB12" s="48">
        <v>3</v>
      </c>
      <c r="AC12" s="31">
        <v>45824</v>
      </c>
    </row>
    <row r="13" ht="45" spans="1:29">
      <c r="A13" s="48">
        <v>10</v>
      </c>
      <c r="B13" s="30" t="s">
        <v>36</v>
      </c>
      <c r="C13" s="31">
        <v>45824</v>
      </c>
      <c r="D13" s="45">
        <f t="shared" si="0"/>
        <v>18</v>
      </c>
      <c r="E13" s="45"/>
      <c r="F13" s="45"/>
      <c r="G13" s="45"/>
      <c r="H13" s="45"/>
      <c r="I13" s="45"/>
      <c r="J13" s="45"/>
      <c r="K13" s="45"/>
      <c r="L13" s="45">
        <v>10</v>
      </c>
      <c r="M13" s="45"/>
      <c r="N13" s="45">
        <v>8</v>
      </c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8"/>
      <c r="AC13" s="31">
        <v>45824</v>
      </c>
    </row>
    <row r="14" ht="60" spans="1:29">
      <c r="A14" s="48">
        <v>11</v>
      </c>
      <c r="B14" s="30" t="s">
        <v>37</v>
      </c>
      <c r="C14" s="31">
        <v>45824</v>
      </c>
      <c r="D14" s="45">
        <f t="shared" si="0"/>
        <v>3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>
        <v>3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8"/>
      <c r="AC14" s="31">
        <v>45824</v>
      </c>
    </row>
    <row r="15" ht="60" spans="1:29">
      <c r="A15" s="48">
        <v>12</v>
      </c>
      <c r="B15" s="30" t="s">
        <v>38</v>
      </c>
      <c r="C15" s="31">
        <v>45824</v>
      </c>
      <c r="D15" s="45">
        <f t="shared" si="0"/>
        <v>2</v>
      </c>
      <c r="E15" s="45"/>
      <c r="F15" s="45"/>
      <c r="G15" s="45"/>
      <c r="H15" s="45"/>
      <c r="I15" s="45"/>
      <c r="J15" s="45"/>
      <c r="K15" s="45"/>
      <c r="L15" s="45">
        <v>1</v>
      </c>
      <c r="M15" s="45"/>
      <c r="N15" s="45">
        <v>1</v>
      </c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8"/>
      <c r="AC15" s="31">
        <v>45824</v>
      </c>
    </row>
    <row r="16" ht="45" spans="1:29">
      <c r="A16" s="48">
        <v>13</v>
      </c>
      <c r="B16" s="30" t="s">
        <v>39</v>
      </c>
      <c r="C16" s="31">
        <v>45824</v>
      </c>
      <c r="D16" s="45">
        <f t="shared" si="0"/>
        <v>15</v>
      </c>
      <c r="E16" s="45"/>
      <c r="F16" s="45"/>
      <c r="G16" s="45"/>
      <c r="H16" s="45">
        <v>5</v>
      </c>
      <c r="I16" s="45"/>
      <c r="J16" s="45"/>
      <c r="K16" s="45"/>
      <c r="L16" s="45">
        <v>5</v>
      </c>
      <c r="M16" s="45"/>
      <c r="N16" s="45">
        <v>5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8"/>
      <c r="AC16" s="31">
        <v>45824</v>
      </c>
    </row>
    <row r="17" ht="45" spans="1:29">
      <c r="A17" s="48">
        <v>14</v>
      </c>
      <c r="B17" s="30" t="s">
        <v>40</v>
      </c>
      <c r="C17" s="31">
        <v>45824</v>
      </c>
      <c r="D17" s="45">
        <f t="shared" si="0"/>
        <v>2</v>
      </c>
      <c r="E17" s="45"/>
      <c r="F17" s="45"/>
      <c r="G17" s="45"/>
      <c r="H17" s="45"/>
      <c r="I17" s="45"/>
      <c r="J17" s="45"/>
      <c r="K17" s="45"/>
      <c r="L17" s="45"/>
      <c r="M17" s="45"/>
      <c r="N17" s="45">
        <v>2</v>
      </c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8"/>
      <c r="AC17" s="31">
        <v>45824</v>
      </c>
    </row>
    <row r="18" ht="30" spans="1:29">
      <c r="A18" s="48">
        <v>15</v>
      </c>
      <c r="B18" s="30" t="s">
        <v>41</v>
      </c>
      <c r="C18" s="31">
        <v>45824</v>
      </c>
      <c r="D18" s="45">
        <f t="shared" si="0"/>
        <v>23</v>
      </c>
      <c r="E18" s="45">
        <v>8</v>
      </c>
      <c r="F18" s="45"/>
      <c r="G18" s="45"/>
      <c r="H18" s="45"/>
      <c r="I18" s="45"/>
      <c r="J18" s="45">
        <v>15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8"/>
      <c r="AC18" s="31">
        <v>45824</v>
      </c>
    </row>
    <row r="19" ht="45" spans="1:29">
      <c r="A19" s="48">
        <v>16</v>
      </c>
      <c r="B19" s="30" t="s">
        <v>42</v>
      </c>
      <c r="C19" s="31">
        <v>45824</v>
      </c>
      <c r="D19" s="45">
        <f t="shared" si="0"/>
        <v>3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>
        <v>3</v>
      </c>
      <c r="AB19" s="48"/>
      <c r="AC19" s="31">
        <v>45824</v>
      </c>
    </row>
    <row r="20" ht="60" spans="1:29">
      <c r="A20" s="48">
        <v>17</v>
      </c>
      <c r="B20" s="30" t="s">
        <v>43</v>
      </c>
      <c r="C20" s="31">
        <v>45824</v>
      </c>
      <c r="D20" s="45">
        <f t="shared" si="0"/>
        <v>19</v>
      </c>
      <c r="E20" s="45"/>
      <c r="F20" s="45">
        <v>3</v>
      </c>
      <c r="G20" s="45"/>
      <c r="H20" s="45">
        <v>1.5</v>
      </c>
      <c r="I20" s="45"/>
      <c r="J20" s="45">
        <v>2</v>
      </c>
      <c r="K20" s="45"/>
      <c r="L20" s="45">
        <v>4</v>
      </c>
      <c r="M20" s="45">
        <v>2.5</v>
      </c>
      <c r="N20" s="45">
        <v>1</v>
      </c>
      <c r="O20" s="45"/>
      <c r="P20" s="45"/>
      <c r="Q20" s="45"/>
      <c r="R20" s="45"/>
      <c r="S20" s="45"/>
      <c r="T20" s="45"/>
      <c r="U20" s="45">
        <v>5</v>
      </c>
      <c r="V20" s="45"/>
      <c r="W20" s="45"/>
      <c r="X20" s="45"/>
      <c r="Y20" s="45"/>
      <c r="Z20" s="45"/>
      <c r="AA20" s="45"/>
      <c r="AB20" s="48"/>
      <c r="AC20" s="31">
        <v>45824</v>
      </c>
    </row>
    <row r="21" ht="45" spans="1:29">
      <c r="A21" s="48">
        <v>18</v>
      </c>
      <c r="B21" s="30" t="s">
        <v>44</v>
      </c>
      <c r="C21" s="31">
        <v>45824</v>
      </c>
      <c r="D21" s="45">
        <f t="shared" si="0"/>
        <v>3</v>
      </c>
      <c r="E21" s="45"/>
      <c r="F21" s="45"/>
      <c r="G21" s="45"/>
      <c r="H21" s="45"/>
      <c r="I21" s="45"/>
      <c r="J21" s="45"/>
      <c r="K21" s="45"/>
      <c r="L21" s="45"/>
      <c r="M21" s="45"/>
      <c r="N21" s="45">
        <v>3</v>
      </c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8"/>
      <c r="AC21" s="31">
        <v>45824</v>
      </c>
    </row>
    <row r="22" ht="60" spans="1:29">
      <c r="A22" s="48">
        <v>19</v>
      </c>
      <c r="B22" s="30" t="s">
        <v>45</v>
      </c>
      <c r="C22" s="31">
        <v>45952</v>
      </c>
      <c r="D22" s="45">
        <f t="shared" si="0"/>
        <v>3</v>
      </c>
      <c r="E22" s="45"/>
      <c r="F22" s="45">
        <v>2</v>
      </c>
      <c r="G22" s="45"/>
      <c r="H22" s="45"/>
      <c r="I22" s="45"/>
      <c r="J22" s="45">
        <v>0.5</v>
      </c>
      <c r="K22" s="45"/>
      <c r="L22" s="45">
        <v>0.5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8"/>
      <c r="AC22" s="31">
        <v>45952</v>
      </c>
    </row>
    <row r="23" ht="45" spans="1:29">
      <c r="A23" s="48">
        <v>20</v>
      </c>
      <c r="B23" s="30" t="s">
        <v>46</v>
      </c>
      <c r="C23" s="31">
        <v>45824</v>
      </c>
      <c r="D23" s="45">
        <f t="shared" si="0"/>
        <v>15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>
        <v>15</v>
      </c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8"/>
      <c r="AC23" s="31">
        <v>45824</v>
      </c>
    </row>
    <row r="24" ht="45" spans="1:29">
      <c r="A24" s="48">
        <v>21</v>
      </c>
      <c r="B24" s="30" t="s">
        <v>47</v>
      </c>
      <c r="C24" s="31">
        <v>45824</v>
      </c>
      <c r="D24" s="45">
        <f t="shared" si="0"/>
        <v>18</v>
      </c>
      <c r="E24" s="45"/>
      <c r="F24" s="45"/>
      <c r="G24" s="45"/>
      <c r="H24" s="45"/>
      <c r="I24" s="45"/>
      <c r="J24" s="45"/>
      <c r="K24" s="45"/>
      <c r="L24" s="45">
        <v>10</v>
      </c>
      <c r="M24" s="45"/>
      <c r="N24" s="45">
        <v>8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8"/>
      <c r="AC24" s="31">
        <v>45824</v>
      </c>
    </row>
    <row r="25" ht="45" spans="1:29">
      <c r="A25" s="48">
        <v>22</v>
      </c>
      <c r="B25" s="30" t="s">
        <v>48</v>
      </c>
      <c r="C25" s="31">
        <v>45824</v>
      </c>
      <c r="D25" s="45">
        <f t="shared" si="0"/>
        <v>7</v>
      </c>
      <c r="E25" s="45"/>
      <c r="F25" s="45"/>
      <c r="G25" s="45"/>
      <c r="H25" s="45"/>
      <c r="I25" s="45"/>
      <c r="J25" s="45"/>
      <c r="K25" s="45"/>
      <c r="L25" s="45">
        <v>5</v>
      </c>
      <c r="M25" s="45"/>
      <c r="N25" s="45">
        <v>2</v>
      </c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8"/>
      <c r="AC25" s="31">
        <v>45824</v>
      </c>
    </row>
    <row r="26" ht="45" spans="1:29">
      <c r="A26" s="48">
        <v>23</v>
      </c>
      <c r="B26" s="30" t="s">
        <v>49</v>
      </c>
      <c r="C26" s="31">
        <v>45824</v>
      </c>
      <c r="D26" s="45">
        <f t="shared" si="0"/>
        <v>5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>
        <v>3</v>
      </c>
      <c r="AB26" s="48">
        <v>2</v>
      </c>
      <c r="AC26" s="31">
        <v>45824</v>
      </c>
    </row>
    <row r="27" ht="60" spans="1:29">
      <c r="A27" s="48">
        <v>24</v>
      </c>
      <c r="B27" s="30" t="s">
        <v>50</v>
      </c>
      <c r="C27" s="31">
        <v>45824</v>
      </c>
      <c r="D27" s="45">
        <f t="shared" si="0"/>
        <v>7.5</v>
      </c>
      <c r="E27" s="45"/>
      <c r="F27" s="45"/>
      <c r="G27" s="45"/>
      <c r="H27" s="45">
        <v>1</v>
      </c>
      <c r="I27" s="45"/>
      <c r="J27" s="45">
        <v>1</v>
      </c>
      <c r="K27" s="45"/>
      <c r="L27" s="45">
        <v>0.5</v>
      </c>
      <c r="M27" s="45">
        <v>3</v>
      </c>
      <c r="N27" s="45">
        <v>1</v>
      </c>
      <c r="O27" s="45"/>
      <c r="P27" s="45"/>
      <c r="Q27" s="45"/>
      <c r="R27" s="45"/>
      <c r="S27" s="45"/>
      <c r="T27" s="45"/>
      <c r="U27" s="45">
        <v>1</v>
      </c>
      <c r="V27" s="45"/>
      <c r="W27" s="45"/>
      <c r="X27" s="45"/>
      <c r="Y27" s="45"/>
      <c r="Z27" s="45"/>
      <c r="AA27" s="45"/>
      <c r="AB27" s="48"/>
      <c r="AC27" s="31">
        <v>45824</v>
      </c>
    </row>
    <row r="28" ht="60" spans="1:29">
      <c r="A28" s="48">
        <v>25</v>
      </c>
      <c r="B28" s="30" t="s">
        <v>51</v>
      </c>
      <c r="C28" s="31">
        <v>45824</v>
      </c>
      <c r="D28" s="45">
        <f t="shared" si="0"/>
        <v>13</v>
      </c>
      <c r="E28" s="45"/>
      <c r="F28" s="45"/>
      <c r="G28" s="45"/>
      <c r="H28" s="45">
        <v>2</v>
      </c>
      <c r="I28" s="45"/>
      <c r="J28" s="45">
        <v>0.5</v>
      </c>
      <c r="K28" s="45"/>
      <c r="L28" s="45">
        <v>3.5</v>
      </c>
      <c r="M28" s="45">
        <v>5</v>
      </c>
      <c r="N28" s="45">
        <v>2</v>
      </c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8"/>
      <c r="AC28" s="31">
        <v>45824</v>
      </c>
    </row>
    <row r="29" ht="60" spans="1:29">
      <c r="A29" s="48">
        <v>26</v>
      </c>
      <c r="B29" s="30" t="s">
        <v>52</v>
      </c>
      <c r="C29" s="31">
        <v>45824</v>
      </c>
      <c r="D29" s="45">
        <f t="shared" si="0"/>
        <v>4</v>
      </c>
      <c r="E29" s="45"/>
      <c r="F29" s="45"/>
      <c r="G29" s="45"/>
      <c r="H29" s="45">
        <v>1.4</v>
      </c>
      <c r="I29" s="45"/>
      <c r="J29" s="45"/>
      <c r="K29" s="45"/>
      <c r="L29" s="45">
        <v>0.6</v>
      </c>
      <c r="M29" s="45"/>
      <c r="N29" s="45">
        <v>2</v>
      </c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8"/>
      <c r="AC29" s="31">
        <v>45824</v>
      </c>
    </row>
    <row r="30" ht="60" spans="1:29">
      <c r="A30" s="48">
        <v>27</v>
      </c>
      <c r="B30" s="30" t="s">
        <v>53</v>
      </c>
      <c r="C30" s="31">
        <v>46057</v>
      </c>
      <c r="D30" s="45">
        <f t="shared" si="0"/>
        <v>13</v>
      </c>
      <c r="E30" s="45"/>
      <c r="F30" s="45"/>
      <c r="G30" s="45"/>
      <c r="H30" s="45">
        <v>2</v>
      </c>
      <c r="I30" s="45"/>
      <c r="J30" s="45">
        <v>1</v>
      </c>
      <c r="K30" s="45"/>
      <c r="L30" s="45">
        <v>2</v>
      </c>
      <c r="M30" s="45">
        <v>2</v>
      </c>
      <c r="N30" s="45">
        <v>1</v>
      </c>
      <c r="O30" s="45"/>
      <c r="P30" s="45"/>
      <c r="Q30" s="45"/>
      <c r="R30" s="45"/>
      <c r="S30" s="45"/>
      <c r="T30" s="45"/>
      <c r="U30" s="45">
        <v>5</v>
      </c>
      <c r="V30" s="45"/>
      <c r="W30" s="45"/>
      <c r="X30" s="45"/>
      <c r="Y30" s="45"/>
      <c r="Z30" s="45"/>
      <c r="AA30" s="45"/>
      <c r="AB30" s="48"/>
      <c r="AC30" s="31">
        <v>46057</v>
      </c>
    </row>
    <row r="31" ht="60" spans="1:29">
      <c r="A31" s="48">
        <v>28</v>
      </c>
      <c r="B31" s="30" t="s">
        <v>54</v>
      </c>
      <c r="C31" s="31">
        <v>45824</v>
      </c>
      <c r="D31" s="45">
        <f t="shared" si="0"/>
        <v>3</v>
      </c>
      <c r="E31" s="45"/>
      <c r="F31" s="45"/>
      <c r="G31" s="45"/>
      <c r="H31" s="45"/>
      <c r="I31" s="45"/>
      <c r="J31" s="45"/>
      <c r="K31" s="45"/>
      <c r="L31" s="45">
        <v>1</v>
      </c>
      <c r="M31" s="45"/>
      <c r="N31" s="45">
        <v>2</v>
      </c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8"/>
      <c r="AC31" s="31">
        <v>45824</v>
      </c>
    </row>
    <row r="32" ht="75" spans="1:29">
      <c r="A32" s="48">
        <v>29</v>
      </c>
      <c r="B32" s="30" t="s">
        <v>55</v>
      </c>
      <c r="C32" s="31">
        <v>45824</v>
      </c>
      <c r="D32" s="45">
        <f t="shared" si="0"/>
        <v>12</v>
      </c>
      <c r="E32" s="45"/>
      <c r="F32" s="45"/>
      <c r="G32" s="45"/>
      <c r="H32" s="45">
        <v>2</v>
      </c>
      <c r="I32" s="45"/>
      <c r="J32" s="45">
        <v>1</v>
      </c>
      <c r="K32" s="45"/>
      <c r="L32" s="45">
        <v>2</v>
      </c>
      <c r="M32" s="45">
        <v>5</v>
      </c>
      <c r="N32" s="45">
        <v>2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8"/>
      <c r="AC32" s="31">
        <v>45824</v>
      </c>
    </row>
    <row r="33" ht="60" spans="1:29">
      <c r="A33" s="48">
        <v>30</v>
      </c>
      <c r="B33" s="30" t="s">
        <v>56</v>
      </c>
      <c r="C33" s="31">
        <v>45824</v>
      </c>
      <c r="D33" s="45">
        <f t="shared" si="0"/>
        <v>3</v>
      </c>
      <c r="E33" s="45"/>
      <c r="F33" s="45"/>
      <c r="G33" s="45"/>
      <c r="H33" s="45"/>
      <c r="I33" s="45"/>
      <c r="J33" s="45"/>
      <c r="K33" s="45"/>
      <c r="L33" s="45"/>
      <c r="M33" s="45"/>
      <c r="N33" s="45">
        <v>3</v>
      </c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8"/>
      <c r="AC33" s="31">
        <v>45824</v>
      </c>
    </row>
    <row r="34" ht="45" spans="1:29">
      <c r="A34" s="48">
        <v>31</v>
      </c>
      <c r="B34" s="30" t="s">
        <v>57</v>
      </c>
      <c r="C34" s="31">
        <v>45824</v>
      </c>
      <c r="D34" s="45">
        <f t="shared" si="0"/>
        <v>3</v>
      </c>
      <c r="E34" s="45"/>
      <c r="F34" s="45"/>
      <c r="G34" s="45"/>
      <c r="H34" s="45"/>
      <c r="I34" s="45"/>
      <c r="J34" s="45"/>
      <c r="K34" s="45"/>
      <c r="L34" s="45"/>
      <c r="M34" s="45"/>
      <c r="N34" s="45">
        <v>3</v>
      </c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8"/>
      <c r="AC34" s="31">
        <v>45824</v>
      </c>
    </row>
    <row r="35" ht="45" spans="1:29">
      <c r="A35" s="48">
        <v>32</v>
      </c>
      <c r="B35" s="30" t="s">
        <v>58</v>
      </c>
      <c r="C35" s="31">
        <v>45824</v>
      </c>
      <c r="D35" s="45">
        <f t="shared" si="0"/>
        <v>4</v>
      </c>
      <c r="E35" s="45"/>
      <c r="F35" s="45"/>
      <c r="G35" s="45"/>
      <c r="H35" s="45">
        <v>2</v>
      </c>
      <c r="I35" s="45"/>
      <c r="J35" s="45"/>
      <c r="K35" s="45"/>
      <c r="L35" s="45"/>
      <c r="M35" s="45"/>
      <c r="N35" s="45">
        <v>2</v>
      </c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8"/>
      <c r="AC35" s="31">
        <v>45824</v>
      </c>
    </row>
    <row r="36" ht="60" spans="1:29">
      <c r="A36" s="48">
        <v>33</v>
      </c>
      <c r="B36" s="30" t="s">
        <v>59</v>
      </c>
      <c r="C36" s="31">
        <v>45952</v>
      </c>
      <c r="D36" s="45">
        <f t="shared" si="0"/>
        <v>10.5</v>
      </c>
      <c r="E36" s="45"/>
      <c r="F36" s="45">
        <v>4</v>
      </c>
      <c r="G36" s="45"/>
      <c r="H36" s="45"/>
      <c r="I36" s="45"/>
      <c r="J36" s="45"/>
      <c r="K36" s="45"/>
      <c r="L36" s="45">
        <v>0.5</v>
      </c>
      <c r="M36" s="45"/>
      <c r="N36" s="45">
        <v>3</v>
      </c>
      <c r="O36" s="45"/>
      <c r="P36" s="45"/>
      <c r="Q36" s="45"/>
      <c r="R36" s="45"/>
      <c r="S36" s="45"/>
      <c r="T36" s="45"/>
      <c r="U36" s="45">
        <v>3</v>
      </c>
      <c r="V36" s="45"/>
      <c r="W36" s="45"/>
      <c r="X36" s="45"/>
      <c r="Y36" s="45"/>
      <c r="Z36" s="45"/>
      <c r="AA36" s="45"/>
      <c r="AB36" s="48"/>
      <c r="AC36" s="31">
        <v>45952</v>
      </c>
    </row>
    <row r="37" ht="45" spans="1:29">
      <c r="A37" s="48">
        <v>34</v>
      </c>
      <c r="B37" s="30" t="s">
        <v>60</v>
      </c>
      <c r="C37" s="31">
        <v>45824</v>
      </c>
      <c r="D37" s="45">
        <f t="shared" si="0"/>
        <v>4</v>
      </c>
      <c r="E37" s="45"/>
      <c r="F37" s="45"/>
      <c r="G37" s="45"/>
      <c r="H37" s="45">
        <v>2</v>
      </c>
      <c r="I37" s="45"/>
      <c r="J37" s="45"/>
      <c r="K37" s="45"/>
      <c r="L37" s="45">
        <v>0.1</v>
      </c>
      <c r="M37" s="45"/>
      <c r="N37" s="45">
        <v>1.9</v>
      </c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8"/>
      <c r="AC37" s="31">
        <v>45824</v>
      </c>
    </row>
    <row r="38" ht="60" spans="1:29">
      <c r="A38" s="48">
        <v>35</v>
      </c>
      <c r="B38" s="30" t="s">
        <v>61</v>
      </c>
      <c r="C38" s="31">
        <v>45824</v>
      </c>
      <c r="D38" s="45">
        <f t="shared" si="0"/>
        <v>14.5</v>
      </c>
      <c r="E38" s="45"/>
      <c r="F38" s="45"/>
      <c r="G38" s="45"/>
      <c r="H38" s="45">
        <v>6</v>
      </c>
      <c r="I38" s="45"/>
      <c r="J38" s="45">
        <v>2</v>
      </c>
      <c r="K38" s="45"/>
      <c r="L38" s="45">
        <v>2</v>
      </c>
      <c r="M38" s="45"/>
      <c r="N38" s="45">
        <v>1</v>
      </c>
      <c r="O38" s="45">
        <v>0.5</v>
      </c>
      <c r="P38" s="45"/>
      <c r="Q38" s="45"/>
      <c r="R38" s="45"/>
      <c r="S38" s="45"/>
      <c r="T38" s="45"/>
      <c r="U38" s="45">
        <v>3</v>
      </c>
      <c r="V38" s="45"/>
      <c r="W38" s="45"/>
      <c r="X38" s="45"/>
      <c r="Y38" s="45"/>
      <c r="Z38" s="45"/>
      <c r="AA38" s="45"/>
      <c r="AB38" s="48"/>
      <c r="AC38" s="31">
        <v>45824</v>
      </c>
    </row>
    <row r="39" ht="60" spans="1:29">
      <c r="A39" s="48">
        <v>36</v>
      </c>
      <c r="B39" s="30" t="s">
        <v>62</v>
      </c>
      <c r="C39" s="31">
        <v>45974</v>
      </c>
      <c r="D39" s="45">
        <f t="shared" si="0"/>
        <v>10</v>
      </c>
      <c r="E39" s="45"/>
      <c r="F39" s="45">
        <v>2</v>
      </c>
      <c r="G39" s="45"/>
      <c r="H39" s="45"/>
      <c r="I39" s="45"/>
      <c r="J39" s="45">
        <v>1</v>
      </c>
      <c r="K39" s="45"/>
      <c r="L39" s="45">
        <v>1</v>
      </c>
      <c r="M39" s="45">
        <v>1</v>
      </c>
      <c r="N39" s="45"/>
      <c r="O39" s="45"/>
      <c r="P39" s="45"/>
      <c r="Q39" s="45"/>
      <c r="R39" s="45"/>
      <c r="S39" s="45"/>
      <c r="T39" s="45"/>
      <c r="U39" s="45">
        <v>5</v>
      </c>
      <c r="V39" s="45"/>
      <c r="W39" s="45"/>
      <c r="X39" s="45"/>
      <c r="Y39" s="45"/>
      <c r="Z39" s="45"/>
      <c r="AA39" s="45"/>
      <c r="AB39" s="48"/>
      <c r="AC39" s="31">
        <v>45974</v>
      </c>
    </row>
    <row r="40" ht="60" spans="1:29">
      <c r="A40" s="48">
        <v>37</v>
      </c>
      <c r="B40" s="30" t="s">
        <v>63</v>
      </c>
      <c r="C40" s="31">
        <v>45952</v>
      </c>
      <c r="D40" s="45">
        <f t="shared" si="0"/>
        <v>5.5</v>
      </c>
      <c r="E40" s="45"/>
      <c r="F40" s="45">
        <v>3</v>
      </c>
      <c r="G40" s="45"/>
      <c r="H40" s="45"/>
      <c r="I40" s="45"/>
      <c r="J40" s="45">
        <v>0.5</v>
      </c>
      <c r="K40" s="45"/>
      <c r="L40" s="45">
        <v>0.1</v>
      </c>
      <c r="M40" s="45"/>
      <c r="N40" s="45">
        <v>1.9</v>
      </c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8"/>
      <c r="AC40" s="31">
        <v>45952</v>
      </c>
    </row>
    <row r="41" ht="60" spans="1:29">
      <c r="A41" s="48">
        <v>38</v>
      </c>
      <c r="B41" s="30" t="s">
        <v>64</v>
      </c>
      <c r="C41" s="31">
        <v>45824</v>
      </c>
      <c r="D41" s="45">
        <f t="shared" si="0"/>
        <v>3.5</v>
      </c>
      <c r="E41" s="45"/>
      <c r="F41" s="45">
        <v>1</v>
      </c>
      <c r="G41" s="45"/>
      <c r="H41" s="45">
        <v>1</v>
      </c>
      <c r="I41" s="45"/>
      <c r="J41" s="45">
        <v>0.5</v>
      </c>
      <c r="K41" s="45"/>
      <c r="L41" s="45">
        <v>0.1</v>
      </c>
      <c r="M41" s="45"/>
      <c r="N41" s="45">
        <v>0.9</v>
      </c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8"/>
      <c r="AC41" s="31">
        <v>45824</v>
      </c>
    </row>
    <row r="42" ht="45" spans="1:29">
      <c r="A42" s="48">
        <v>39</v>
      </c>
      <c r="B42" s="30" t="s">
        <v>65</v>
      </c>
      <c r="C42" s="31">
        <v>45824</v>
      </c>
      <c r="D42" s="45">
        <f t="shared" si="0"/>
        <v>2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>
        <v>2</v>
      </c>
      <c r="AB42" s="48"/>
      <c r="AC42" s="31">
        <v>45824</v>
      </c>
    </row>
    <row r="43" ht="60" spans="1:29">
      <c r="A43" s="48">
        <v>40</v>
      </c>
      <c r="B43" s="30" t="s">
        <v>66</v>
      </c>
      <c r="C43" s="31">
        <v>45824</v>
      </c>
      <c r="D43" s="45">
        <f t="shared" si="0"/>
        <v>3</v>
      </c>
      <c r="E43" s="45"/>
      <c r="F43" s="45"/>
      <c r="G43" s="45"/>
      <c r="H43" s="45"/>
      <c r="I43" s="45"/>
      <c r="J43" s="45"/>
      <c r="K43" s="45"/>
      <c r="L43" s="45"/>
      <c r="M43" s="45"/>
      <c r="N43" s="45">
        <v>3</v>
      </c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8"/>
      <c r="AC43" s="31">
        <v>45824</v>
      </c>
    </row>
    <row r="44" ht="45" spans="1:29">
      <c r="A44" s="48">
        <v>41</v>
      </c>
      <c r="B44" s="30" t="s">
        <v>67</v>
      </c>
      <c r="C44" s="31">
        <v>45824</v>
      </c>
      <c r="D44" s="45">
        <f t="shared" si="0"/>
        <v>2</v>
      </c>
      <c r="E44" s="45"/>
      <c r="F44" s="45"/>
      <c r="G44" s="45"/>
      <c r="H44" s="45"/>
      <c r="I44" s="45"/>
      <c r="J44" s="45"/>
      <c r="K44" s="45"/>
      <c r="L44" s="45"/>
      <c r="M44" s="45"/>
      <c r="N44" s="45">
        <v>2</v>
      </c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8"/>
      <c r="AC44" s="31">
        <v>45824</v>
      </c>
    </row>
    <row r="45" ht="60" spans="1:29">
      <c r="A45" s="48">
        <v>42</v>
      </c>
      <c r="B45" s="30" t="s">
        <v>68</v>
      </c>
      <c r="C45" s="31">
        <v>45824</v>
      </c>
      <c r="D45" s="45">
        <f t="shared" si="0"/>
        <v>3</v>
      </c>
      <c r="E45" s="45"/>
      <c r="F45" s="45"/>
      <c r="G45" s="45"/>
      <c r="H45" s="45"/>
      <c r="I45" s="45"/>
      <c r="J45" s="45"/>
      <c r="K45" s="45"/>
      <c r="L45" s="45"/>
      <c r="M45" s="45"/>
      <c r="N45" s="45">
        <v>3</v>
      </c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8"/>
      <c r="AC45" s="31">
        <v>45824</v>
      </c>
    </row>
    <row r="46" ht="45" spans="1:29">
      <c r="A46" s="48">
        <v>43</v>
      </c>
      <c r="B46" s="30" t="s">
        <v>69</v>
      </c>
      <c r="C46" s="31">
        <v>45824</v>
      </c>
      <c r="D46" s="45">
        <f t="shared" si="0"/>
        <v>2</v>
      </c>
      <c r="E46" s="45"/>
      <c r="F46" s="45"/>
      <c r="G46" s="45"/>
      <c r="H46" s="45"/>
      <c r="I46" s="45"/>
      <c r="J46" s="45"/>
      <c r="K46" s="45"/>
      <c r="L46" s="45"/>
      <c r="M46" s="45"/>
      <c r="N46" s="45">
        <v>2</v>
      </c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8"/>
      <c r="AC46" s="31">
        <v>45824</v>
      </c>
    </row>
    <row r="47" ht="60" spans="1:29">
      <c r="A47" s="48">
        <v>44</v>
      </c>
      <c r="B47" s="30" t="s">
        <v>70</v>
      </c>
      <c r="C47" s="31">
        <v>45824</v>
      </c>
      <c r="D47" s="45">
        <f t="shared" si="0"/>
        <v>5</v>
      </c>
      <c r="E47" s="45"/>
      <c r="F47" s="45"/>
      <c r="G47" s="45"/>
      <c r="H47" s="45"/>
      <c r="I47" s="45"/>
      <c r="J47" s="45"/>
      <c r="K47" s="45"/>
      <c r="L47" s="45">
        <v>0.5</v>
      </c>
      <c r="M47" s="45"/>
      <c r="N47" s="45">
        <v>4.5</v>
      </c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8"/>
      <c r="AC47" s="31">
        <v>45824</v>
      </c>
    </row>
    <row r="48" ht="60" spans="1:29">
      <c r="A48" s="48">
        <v>45</v>
      </c>
      <c r="B48" s="30" t="s">
        <v>71</v>
      </c>
      <c r="C48" s="31">
        <v>45824</v>
      </c>
      <c r="D48" s="45">
        <f t="shared" si="0"/>
        <v>6</v>
      </c>
      <c r="E48" s="45"/>
      <c r="F48" s="45"/>
      <c r="G48" s="45"/>
      <c r="H48" s="45">
        <v>3</v>
      </c>
      <c r="I48" s="45"/>
      <c r="J48" s="45"/>
      <c r="K48" s="45"/>
      <c r="L48" s="45">
        <v>0.1</v>
      </c>
      <c r="M48" s="45"/>
      <c r="N48" s="45">
        <v>2.9</v>
      </c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8"/>
      <c r="AC48" s="31">
        <v>45824</v>
      </c>
    </row>
    <row r="49" ht="45" spans="1:29">
      <c r="A49" s="48">
        <v>46</v>
      </c>
      <c r="B49" s="30" t="s">
        <v>72</v>
      </c>
      <c r="C49" s="31">
        <v>45824</v>
      </c>
      <c r="D49" s="45">
        <f t="shared" si="0"/>
        <v>6</v>
      </c>
      <c r="E49" s="45"/>
      <c r="F49" s="45"/>
      <c r="G49" s="45"/>
      <c r="H49" s="45">
        <v>1</v>
      </c>
      <c r="I49" s="45"/>
      <c r="J49" s="45"/>
      <c r="K49" s="45"/>
      <c r="L49" s="45">
        <v>0.5</v>
      </c>
      <c r="M49" s="45"/>
      <c r="N49" s="45">
        <v>1.5</v>
      </c>
      <c r="O49" s="45"/>
      <c r="P49" s="45"/>
      <c r="Q49" s="45"/>
      <c r="R49" s="45"/>
      <c r="S49" s="45"/>
      <c r="T49" s="45"/>
      <c r="U49" s="45">
        <v>3</v>
      </c>
      <c r="V49" s="45"/>
      <c r="W49" s="45"/>
      <c r="X49" s="45"/>
      <c r="Y49" s="45"/>
      <c r="Z49" s="45"/>
      <c r="AA49" s="45"/>
      <c r="AB49" s="48"/>
      <c r="AC49" s="31">
        <v>45824</v>
      </c>
    </row>
    <row r="50" ht="45" spans="1:29">
      <c r="A50" s="48">
        <v>48</v>
      </c>
      <c r="B50" s="30" t="s">
        <v>73</v>
      </c>
      <c r="C50" s="31">
        <v>45824</v>
      </c>
      <c r="D50" s="45">
        <f t="shared" si="0"/>
        <v>5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>
        <v>3</v>
      </c>
      <c r="AB50" s="48">
        <v>2</v>
      </c>
      <c r="AC50" s="31">
        <v>45824</v>
      </c>
    </row>
    <row r="51" ht="45" spans="1:29">
      <c r="A51" s="48">
        <v>49</v>
      </c>
      <c r="B51" s="30" t="s">
        <v>74</v>
      </c>
      <c r="C51" s="31">
        <v>45833</v>
      </c>
      <c r="D51" s="45">
        <f t="shared" si="0"/>
        <v>5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>
        <v>3</v>
      </c>
      <c r="AB51" s="48">
        <v>2</v>
      </c>
      <c r="AC51" s="31">
        <v>45833</v>
      </c>
    </row>
    <row r="52" ht="45" spans="1:29">
      <c r="A52" s="48">
        <v>50</v>
      </c>
      <c r="B52" s="30" t="s">
        <v>75</v>
      </c>
      <c r="C52" s="31">
        <v>45824</v>
      </c>
      <c r="D52" s="45">
        <f t="shared" si="0"/>
        <v>11</v>
      </c>
      <c r="E52" s="45"/>
      <c r="F52" s="45"/>
      <c r="G52" s="45"/>
      <c r="H52" s="45"/>
      <c r="I52" s="45"/>
      <c r="J52" s="45"/>
      <c r="K52" s="45"/>
      <c r="L52" s="45">
        <v>1.5</v>
      </c>
      <c r="M52" s="45">
        <v>2</v>
      </c>
      <c r="N52" s="45">
        <v>2.5</v>
      </c>
      <c r="O52" s="45"/>
      <c r="P52" s="45"/>
      <c r="Q52" s="45"/>
      <c r="R52" s="45"/>
      <c r="S52" s="45"/>
      <c r="T52" s="45"/>
      <c r="U52" s="45">
        <v>5</v>
      </c>
      <c r="V52" s="45"/>
      <c r="W52" s="45"/>
      <c r="X52" s="45"/>
      <c r="Y52" s="45"/>
      <c r="Z52" s="45"/>
      <c r="AA52" s="45"/>
      <c r="AB52" s="48"/>
      <c r="AC52" s="31">
        <v>45824</v>
      </c>
    </row>
    <row r="53" ht="60" spans="1:29">
      <c r="A53" s="48">
        <v>51</v>
      </c>
      <c r="B53" s="30" t="s">
        <v>76</v>
      </c>
      <c r="C53" s="31">
        <v>45824</v>
      </c>
      <c r="D53" s="45">
        <f t="shared" si="0"/>
        <v>7.5</v>
      </c>
      <c r="E53" s="45"/>
      <c r="F53" s="45"/>
      <c r="G53" s="45"/>
      <c r="H53" s="45">
        <v>4</v>
      </c>
      <c r="I53" s="45"/>
      <c r="J53" s="45"/>
      <c r="K53" s="45"/>
      <c r="L53" s="45">
        <v>1.5</v>
      </c>
      <c r="M53" s="45"/>
      <c r="N53" s="45">
        <v>2</v>
      </c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8"/>
      <c r="AC53" s="31">
        <v>45824</v>
      </c>
    </row>
    <row r="54" ht="45" spans="1:29">
      <c r="A54" s="48">
        <v>52</v>
      </c>
      <c r="B54" s="30" t="s">
        <v>77</v>
      </c>
      <c r="C54" s="31">
        <v>45824</v>
      </c>
      <c r="D54" s="45">
        <f t="shared" si="0"/>
        <v>3</v>
      </c>
      <c r="E54" s="45"/>
      <c r="F54" s="45"/>
      <c r="G54" s="45"/>
      <c r="H54" s="45"/>
      <c r="I54" s="45"/>
      <c r="J54" s="45"/>
      <c r="K54" s="45"/>
      <c r="L54" s="45"/>
      <c r="M54" s="45"/>
      <c r="N54" s="45">
        <v>3</v>
      </c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8"/>
      <c r="AC54" s="31">
        <v>45824</v>
      </c>
    </row>
    <row r="55" ht="45" spans="1:29">
      <c r="A55" s="48">
        <v>53</v>
      </c>
      <c r="B55" s="30" t="s">
        <v>78</v>
      </c>
      <c r="C55" s="31">
        <v>45824</v>
      </c>
      <c r="D55" s="45">
        <f t="shared" si="0"/>
        <v>15</v>
      </c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>
        <v>10</v>
      </c>
      <c r="AB55" s="48">
        <v>5</v>
      </c>
      <c r="AC55" s="31">
        <v>45824</v>
      </c>
    </row>
    <row r="56" ht="45" spans="1:29">
      <c r="A56" s="48">
        <v>54</v>
      </c>
      <c r="B56" s="30" t="s">
        <v>79</v>
      </c>
      <c r="C56" s="31">
        <v>45824</v>
      </c>
      <c r="D56" s="45">
        <f t="shared" si="0"/>
        <v>5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>
        <v>3</v>
      </c>
      <c r="AB56" s="48">
        <v>2</v>
      </c>
      <c r="AC56" s="31">
        <v>45824</v>
      </c>
    </row>
    <row r="57" ht="60" spans="1:29">
      <c r="A57" s="48">
        <v>55</v>
      </c>
      <c r="B57" s="30" t="s">
        <v>80</v>
      </c>
      <c r="C57" s="31">
        <v>45951</v>
      </c>
      <c r="D57" s="45">
        <f t="shared" si="0"/>
        <v>6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>
        <v>3</v>
      </c>
      <c r="T57" s="45"/>
      <c r="U57" s="45"/>
      <c r="V57" s="45"/>
      <c r="W57" s="45"/>
      <c r="X57" s="45"/>
      <c r="Y57" s="45"/>
      <c r="Z57" s="45"/>
      <c r="AA57" s="45">
        <v>2</v>
      </c>
      <c r="AB57" s="48">
        <v>1</v>
      </c>
      <c r="AC57" s="31">
        <v>45951</v>
      </c>
    </row>
    <row r="58" ht="60" spans="1:29">
      <c r="A58" s="48">
        <v>56</v>
      </c>
      <c r="B58" s="30" t="s">
        <v>81</v>
      </c>
      <c r="C58" s="31">
        <v>45853</v>
      </c>
      <c r="D58" s="45">
        <f t="shared" si="0"/>
        <v>9</v>
      </c>
      <c r="E58" s="45">
        <v>1</v>
      </c>
      <c r="F58" s="45">
        <v>4</v>
      </c>
      <c r="G58" s="45"/>
      <c r="H58" s="45"/>
      <c r="I58" s="45"/>
      <c r="J58" s="45">
        <v>1</v>
      </c>
      <c r="K58" s="45"/>
      <c r="L58" s="45"/>
      <c r="M58" s="45"/>
      <c r="N58" s="45"/>
      <c r="O58" s="45">
        <v>3</v>
      </c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8"/>
      <c r="AC58" s="31">
        <v>45853</v>
      </c>
    </row>
    <row r="59" ht="60" spans="1:29">
      <c r="A59" s="48">
        <v>57</v>
      </c>
      <c r="B59" s="30" t="s">
        <v>82</v>
      </c>
      <c r="C59" s="31">
        <v>45824</v>
      </c>
      <c r="D59" s="45">
        <f t="shared" si="0"/>
        <v>10</v>
      </c>
      <c r="E59" s="45">
        <v>3</v>
      </c>
      <c r="F59" s="45">
        <v>2</v>
      </c>
      <c r="G59" s="45">
        <v>1</v>
      </c>
      <c r="H59" s="45">
        <v>3</v>
      </c>
      <c r="I59" s="45"/>
      <c r="J59" s="45">
        <v>1</v>
      </c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8"/>
      <c r="AC59" s="31">
        <v>45824</v>
      </c>
    </row>
    <row r="60" ht="60" spans="1:29">
      <c r="A60" s="48">
        <v>58</v>
      </c>
      <c r="B60" s="30" t="s">
        <v>83</v>
      </c>
      <c r="C60" s="31">
        <v>45824</v>
      </c>
      <c r="D60" s="45">
        <f t="shared" si="0"/>
        <v>10</v>
      </c>
      <c r="E60" s="45">
        <v>1</v>
      </c>
      <c r="F60" s="45">
        <v>2</v>
      </c>
      <c r="G60" s="45"/>
      <c r="H60" s="45">
        <v>1</v>
      </c>
      <c r="I60" s="45"/>
      <c r="J60" s="45">
        <v>0.5</v>
      </c>
      <c r="K60" s="45"/>
      <c r="L60" s="45">
        <v>1.5</v>
      </c>
      <c r="M60" s="45">
        <v>2</v>
      </c>
      <c r="N60" s="45"/>
      <c r="O60" s="45"/>
      <c r="P60" s="45"/>
      <c r="Q60" s="45"/>
      <c r="R60" s="45"/>
      <c r="S60" s="45"/>
      <c r="T60" s="45"/>
      <c r="U60" s="45">
        <v>2</v>
      </c>
      <c r="V60" s="45"/>
      <c r="W60" s="45"/>
      <c r="X60" s="45"/>
      <c r="Y60" s="45"/>
      <c r="Z60" s="45"/>
      <c r="AA60" s="45"/>
      <c r="AB60" s="48"/>
      <c r="AC60" s="31">
        <v>45824</v>
      </c>
    </row>
    <row r="61" ht="60" spans="1:29">
      <c r="A61" s="48">
        <v>59</v>
      </c>
      <c r="B61" s="30" t="s">
        <v>84</v>
      </c>
      <c r="C61" s="31">
        <v>45824</v>
      </c>
      <c r="D61" s="45">
        <f t="shared" si="0"/>
        <v>9</v>
      </c>
      <c r="E61" s="45"/>
      <c r="F61" s="45">
        <v>2</v>
      </c>
      <c r="G61" s="45"/>
      <c r="H61" s="45">
        <v>3</v>
      </c>
      <c r="I61" s="45"/>
      <c r="J61" s="45">
        <v>1</v>
      </c>
      <c r="K61" s="45"/>
      <c r="L61" s="45">
        <v>0.5</v>
      </c>
      <c r="M61" s="45"/>
      <c r="N61" s="45">
        <v>2.5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8"/>
      <c r="AC61" s="31">
        <v>45824</v>
      </c>
    </row>
    <row r="62" ht="60" spans="1:29">
      <c r="A62" s="48">
        <v>60</v>
      </c>
      <c r="B62" s="30" t="s">
        <v>85</v>
      </c>
      <c r="C62" s="31">
        <v>45824</v>
      </c>
      <c r="D62" s="45">
        <f t="shared" si="0"/>
        <v>8</v>
      </c>
      <c r="E62" s="45"/>
      <c r="F62" s="45">
        <v>2</v>
      </c>
      <c r="G62" s="45"/>
      <c r="H62" s="45">
        <v>1</v>
      </c>
      <c r="I62" s="45"/>
      <c r="J62" s="45">
        <v>1</v>
      </c>
      <c r="K62" s="45"/>
      <c r="L62" s="45"/>
      <c r="M62" s="45">
        <v>2</v>
      </c>
      <c r="N62" s="45">
        <v>1</v>
      </c>
      <c r="O62" s="45"/>
      <c r="P62" s="45"/>
      <c r="Q62" s="45"/>
      <c r="R62" s="45"/>
      <c r="S62" s="45"/>
      <c r="T62" s="45"/>
      <c r="U62" s="45">
        <v>1</v>
      </c>
      <c r="V62" s="45"/>
      <c r="W62" s="45"/>
      <c r="X62" s="45"/>
      <c r="Y62" s="45"/>
      <c r="Z62" s="45"/>
      <c r="AA62" s="45"/>
      <c r="AB62" s="48"/>
      <c r="AC62" s="31">
        <v>45824</v>
      </c>
    </row>
    <row r="63" ht="60" spans="1:29">
      <c r="A63" s="48">
        <v>61</v>
      </c>
      <c r="B63" s="30" t="s">
        <v>86</v>
      </c>
      <c r="C63" s="31">
        <v>45824</v>
      </c>
      <c r="D63" s="45">
        <f t="shared" si="0"/>
        <v>4.5</v>
      </c>
      <c r="E63" s="45"/>
      <c r="F63" s="45">
        <v>1</v>
      </c>
      <c r="G63" s="45"/>
      <c r="H63" s="45">
        <v>1</v>
      </c>
      <c r="I63" s="45"/>
      <c r="J63" s="45">
        <v>0.5</v>
      </c>
      <c r="K63" s="45"/>
      <c r="L63" s="45"/>
      <c r="M63" s="45"/>
      <c r="N63" s="45">
        <v>2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8"/>
      <c r="AC63" s="31">
        <v>45824</v>
      </c>
    </row>
    <row r="64" ht="60" spans="1:29">
      <c r="A64" s="48">
        <v>62</v>
      </c>
      <c r="B64" s="30" t="s">
        <v>87</v>
      </c>
      <c r="C64" s="31">
        <v>45853</v>
      </c>
      <c r="D64" s="45">
        <f t="shared" si="0"/>
        <v>3</v>
      </c>
      <c r="E64" s="45"/>
      <c r="F64" s="45">
        <v>1</v>
      </c>
      <c r="G64" s="45"/>
      <c r="H64" s="45"/>
      <c r="I64" s="45"/>
      <c r="J64" s="45">
        <v>0.5</v>
      </c>
      <c r="K64" s="45"/>
      <c r="L64" s="45">
        <v>0.5</v>
      </c>
      <c r="M64" s="45"/>
      <c r="N64" s="45">
        <v>1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8"/>
      <c r="AC64" s="31">
        <v>45853</v>
      </c>
    </row>
    <row r="65" ht="75" spans="1:29">
      <c r="A65" s="48">
        <v>63</v>
      </c>
      <c r="B65" s="30" t="s">
        <v>88</v>
      </c>
      <c r="C65" s="31">
        <v>45824</v>
      </c>
      <c r="D65" s="45">
        <f t="shared" si="0"/>
        <v>6</v>
      </c>
      <c r="E65" s="45"/>
      <c r="F65" s="45">
        <v>2</v>
      </c>
      <c r="G65" s="45"/>
      <c r="H65" s="45"/>
      <c r="I65" s="45"/>
      <c r="J65" s="45">
        <v>2</v>
      </c>
      <c r="K65" s="45"/>
      <c r="L65" s="45">
        <v>0.5</v>
      </c>
      <c r="M65" s="45"/>
      <c r="N65" s="45">
        <v>1.5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8"/>
      <c r="AC65" s="31">
        <v>45824</v>
      </c>
    </row>
    <row r="66" ht="60" spans="1:29">
      <c r="A66" s="48">
        <v>64</v>
      </c>
      <c r="B66" s="30" t="s">
        <v>89</v>
      </c>
      <c r="C66" s="31">
        <v>45824</v>
      </c>
      <c r="D66" s="45">
        <f t="shared" si="0"/>
        <v>5.5</v>
      </c>
      <c r="E66" s="45"/>
      <c r="F66" s="45">
        <v>1</v>
      </c>
      <c r="G66" s="45"/>
      <c r="H66" s="45">
        <v>2</v>
      </c>
      <c r="I66" s="45"/>
      <c r="J66" s="45">
        <v>0.5</v>
      </c>
      <c r="K66" s="45"/>
      <c r="L66" s="45"/>
      <c r="M66" s="45"/>
      <c r="N66" s="45">
        <v>2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8"/>
      <c r="AC66" s="31">
        <v>45824</v>
      </c>
    </row>
    <row r="67" ht="60" spans="1:29">
      <c r="A67" s="48">
        <v>65</v>
      </c>
      <c r="B67" s="30" t="s">
        <v>90</v>
      </c>
      <c r="C67" s="31">
        <v>45974</v>
      </c>
      <c r="D67" s="45">
        <f t="shared" ref="D67:D130" si="1">SUM(E67:AB67)</f>
        <v>6</v>
      </c>
      <c r="E67" s="45"/>
      <c r="F67" s="45">
        <v>4</v>
      </c>
      <c r="G67" s="45"/>
      <c r="H67" s="45"/>
      <c r="I67" s="45"/>
      <c r="J67" s="45">
        <v>1</v>
      </c>
      <c r="K67" s="45"/>
      <c r="L67" s="45"/>
      <c r="M67" s="45">
        <v>1</v>
      </c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8"/>
      <c r="AC67" s="31">
        <v>45974</v>
      </c>
    </row>
    <row r="68" ht="60" spans="1:29">
      <c r="A68" s="48">
        <v>66</v>
      </c>
      <c r="B68" s="30" t="s">
        <v>91</v>
      </c>
      <c r="C68" s="31">
        <v>45824</v>
      </c>
      <c r="D68" s="45">
        <f t="shared" si="1"/>
        <v>3</v>
      </c>
      <c r="E68" s="45"/>
      <c r="F68" s="45">
        <v>2</v>
      </c>
      <c r="G68" s="45"/>
      <c r="H68" s="45"/>
      <c r="I68" s="45"/>
      <c r="J68" s="45">
        <v>0.5</v>
      </c>
      <c r="K68" s="45"/>
      <c r="L68" s="45"/>
      <c r="M68" s="45">
        <v>0.5</v>
      </c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8"/>
      <c r="AC68" s="31">
        <v>45824</v>
      </c>
    </row>
    <row r="69" ht="75" spans="1:29">
      <c r="A69" s="48">
        <v>67</v>
      </c>
      <c r="B69" s="30" t="s">
        <v>92</v>
      </c>
      <c r="C69" s="31">
        <v>45952</v>
      </c>
      <c r="D69" s="45">
        <f t="shared" si="1"/>
        <v>9</v>
      </c>
      <c r="E69" s="45">
        <v>1</v>
      </c>
      <c r="F69" s="45"/>
      <c r="G69" s="45"/>
      <c r="H69" s="45">
        <v>2</v>
      </c>
      <c r="I69" s="45"/>
      <c r="J69" s="45">
        <v>1</v>
      </c>
      <c r="K69" s="45"/>
      <c r="L69" s="45">
        <v>2</v>
      </c>
      <c r="M69" s="45">
        <v>1</v>
      </c>
      <c r="N69" s="45"/>
      <c r="O69" s="45">
        <v>2</v>
      </c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8"/>
      <c r="AC69" s="31">
        <v>45952</v>
      </c>
    </row>
    <row r="70" ht="60" spans="1:29">
      <c r="A70" s="48">
        <v>68</v>
      </c>
      <c r="B70" s="30" t="s">
        <v>93</v>
      </c>
      <c r="C70" s="31">
        <v>45824</v>
      </c>
      <c r="D70" s="45">
        <f t="shared" si="1"/>
        <v>1.5</v>
      </c>
      <c r="E70" s="45"/>
      <c r="F70" s="45">
        <v>1</v>
      </c>
      <c r="G70" s="45"/>
      <c r="H70" s="45"/>
      <c r="I70" s="45"/>
      <c r="J70" s="45"/>
      <c r="K70" s="45"/>
      <c r="L70" s="45">
        <v>0.5</v>
      </c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8"/>
      <c r="AC70" s="31">
        <v>45824</v>
      </c>
    </row>
    <row r="71" ht="60" spans="1:29">
      <c r="A71" s="48">
        <v>69</v>
      </c>
      <c r="B71" s="30" t="s">
        <v>94</v>
      </c>
      <c r="C71" s="31">
        <v>45824</v>
      </c>
      <c r="D71" s="45">
        <f t="shared" si="1"/>
        <v>11</v>
      </c>
      <c r="E71" s="45">
        <v>1</v>
      </c>
      <c r="F71" s="45">
        <v>2</v>
      </c>
      <c r="G71" s="45"/>
      <c r="H71" s="45">
        <v>2</v>
      </c>
      <c r="I71" s="45"/>
      <c r="J71" s="45"/>
      <c r="K71" s="45"/>
      <c r="L71" s="45"/>
      <c r="M71" s="45"/>
      <c r="N71" s="45">
        <v>2</v>
      </c>
      <c r="O71" s="45">
        <v>4</v>
      </c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8"/>
      <c r="AC71" s="31">
        <v>45824</v>
      </c>
    </row>
    <row r="72" ht="75" spans="1:29">
      <c r="A72" s="48">
        <v>70</v>
      </c>
      <c r="B72" s="30" t="s">
        <v>95</v>
      </c>
      <c r="C72" s="31">
        <v>45824</v>
      </c>
      <c r="D72" s="45">
        <f t="shared" si="1"/>
        <v>2</v>
      </c>
      <c r="E72" s="45"/>
      <c r="F72" s="45">
        <v>0.5</v>
      </c>
      <c r="G72" s="45"/>
      <c r="H72" s="45">
        <v>0.5</v>
      </c>
      <c r="I72" s="45"/>
      <c r="J72" s="45">
        <v>0.5</v>
      </c>
      <c r="K72" s="45"/>
      <c r="L72" s="45"/>
      <c r="M72" s="45"/>
      <c r="N72" s="45">
        <v>0.5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8"/>
      <c r="AC72" s="31">
        <v>45824</v>
      </c>
    </row>
    <row r="73" ht="60" spans="1:29">
      <c r="A73" s="48">
        <v>71</v>
      </c>
      <c r="B73" s="30" t="s">
        <v>96</v>
      </c>
      <c r="C73" s="31">
        <v>45824</v>
      </c>
      <c r="D73" s="45">
        <f t="shared" si="1"/>
        <v>6</v>
      </c>
      <c r="E73" s="45"/>
      <c r="F73" s="45">
        <v>2</v>
      </c>
      <c r="G73" s="45"/>
      <c r="H73" s="45"/>
      <c r="I73" s="45"/>
      <c r="J73" s="45">
        <v>2</v>
      </c>
      <c r="K73" s="45"/>
      <c r="L73" s="45"/>
      <c r="M73" s="45"/>
      <c r="N73" s="45">
        <v>2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8"/>
      <c r="AC73" s="31">
        <v>45824</v>
      </c>
    </row>
    <row r="74" ht="60" spans="1:29">
      <c r="A74" s="48">
        <v>72</v>
      </c>
      <c r="B74" s="30" t="s">
        <v>97</v>
      </c>
      <c r="C74" s="31">
        <v>45824</v>
      </c>
      <c r="D74" s="45">
        <f t="shared" si="1"/>
        <v>6.5</v>
      </c>
      <c r="E74" s="45"/>
      <c r="F74" s="45">
        <v>2</v>
      </c>
      <c r="G74" s="45"/>
      <c r="H74" s="45">
        <v>1</v>
      </c>
      <c r="I74" s="45"/>
      <c r="J74" s="45">
        <v>1</v>
      </c>
      <c r="K74" s="45"/>
      <c r="L74" s="45">
        <v>0.5</v>
      </c>
      <c r="M74" s="45"/>
      <c r="N74" s="45">
        <v>1</v>
      </c>
      <c r="O74" s="45"/>
      <c r="P74" s="45"/>
      <c r="Q74" s="45"/>
      <c r="R74" s="45"/>
      <c r="S74" s="45"/>
      <c r="T74" s="45"/>
      <c r="U74" s="45">
        <v>1</v>
      </c>
      <c r="V74" s="45"/>
      <c r="W74" s="45"/>
      <c r="X74" s="45"/>
      <c r="Y74" s="45"/>
      <c r="Z74" s="45"/>
      <c r="AA74" s="45"/>
      <c r="AB74" s="48"/>
      <c r="AC74" s="31">
        <v>45824</v>
      </c>
    </row>
    <row r="75" ht="60" spans="1:29">
      <c r="A75" s="48">
        <v>73</v>
      </c>
      <c r="B75" s="30" t="s">
        <v>98</v>
      </c>
      <c r="C75" s="31">
        <v>46000</v>
      </c>
      <c r="D75" s="45">
        <f t="shared" si="1"/>
        <v>2.5</v>
      </c>
      <c r="E75" s="45"/>
      <c r="F75" s="45">
        <v>1.5</v>
      </c>
      <c r="G75" s="45"/>
      <c r="H75" s="45"/>
      <c r="I75" s="45"/>
      <c r="J75" s="45"/>
      <c r="K75" s="45"/>
      <c r="L75" s="45">
        <v>0.5</v>
      </c>
      <c r="M75" s="45"/>
      <c r="N75" s="45">
        <v>0.5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8"/>
      <c r="AC75" s="31">
        <v>46000</v>
      </c>
    </row>
    <row r="76" ht="60" spans="1:29">
      <c r="A76" s="48">
        <v>74</v>
      </c>
      <c r="B76" s="30" t="s">
        <v>99</v>
      </c>
      <c r="C76" s="31">
        <v>45824</v>
      </c>
      <c r="D76" s="45">
        <f t="shared" si="1"/>
        <v>4.2</v>
      </c>
      <c r="E76" s="45"/>
      <c r="F76" s="45">
        <v>0.5</v>
      </c>
      <c r="G76" s="45"/>
      <c r="H76" s="45">
        <v>0.5</v>
      </c>
      <c r="I76" s="45"/>
      <c r="J76" s="45">
        <v>0.7</v>
      </c>
      <c r="K76" s="45"/>
      <c r="L76" s="45"/>
      <c r="M76" s="45"/>
      <c r="N76" s="45">
        <v>0.5</v>
      </c>
      <c r="O76" s="45"/>
      <c r="P76" s="45"/>
      <c r="Q76" s="45"/>
      <c r="R76" s="45"/>
      <c r="S76" s="45"/>
      <c r="T76" s="45"/>
      <c r="U76" s="45">
        <v>2</v>
      </c>
      <c r="V76" s="45"/>
      <c r="W76" s="45"/>
      <c r="X76" s="45"/>
      <c r="Y76" s="45"/>
      <c r="Z76" s="45"/>
      <c r="AA76" s="45"/>
      <c r="AB76" s="48"/>
      <c r="AC76" s="31">
        <v>45824</v>
      </c>
    </row>
    <row r="77" ht="60" spans="1:29">
      <c r="A77" s="48">
        <v>75</v>
      </c>
      <c r="B77" s="30" t="s">
        <v>100</v>
      </c>
      <c r="C77" s="31">
        <v>45987</v>
      </c>
      <c r="D77" s="45">
        <f t="shared" si="1"/>
        <v>5</v>
      </c>
      <c r="E77" s="45"/>
      <c r="F77" s="45">
        <v>2</v>
      </c>
      <c r="G77" s="45"/>
      <c r="H77" s="45"/>
      <c r="I77" s="45"/>
      <c r="J77" s="45">
        <v>1</v>
      </c>
      <c r="K77" s="45"/>
      <c r="L77" s="45"/>
      <c r="M77" s="45">
        <v>1</v>
      </c>
      <c r="N77" s="45">
        <v>1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8"/>
      <c r="AC77" s="31">
        <v>45987</v>
      </c>
    </row>
    <row r="78" ht="60" spans="1:29">
      <c r="A78" s="48">
        <v>76</v>
      </c>
      <c r="B78" s="30" t="s">
        <v>101</v>
      </c>
      <c r="C78" s="31">
        <v>45824</v>
      </c>
      <c r="D78" s="45">
        <f t="shared" si="1"/>
        <v>0.8</v>
      </c>
      <c r="E78" s="45">
        <v>0.8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8"/>
      <c r="AC78" s="31">
        <v>45824</v>
      </c>
    </row>
    <row r="79" ht="60" spans="1:29">
      <c r="A79" s="48">
        <v>77</v>
      </c>
      <c r="B79" s="30" t="s">
        <v>102</v>
      </c>
      <c r="C79" s="31">
        <v>45952</v>
      </c>
      <c r="D79" s="45">
        <f t="shared" si="1"/>
        <v>6</v>
      </c>
      <c r="E79" s="45"/>
      <c r="F79" s="45">
        <v>4</v>
      </c>
      <c r="G79" s="45"/>
      <c r="H79" s="45"/>
      <c r="I79" s="45"/>
      <c r="J79" s="45"/>
      <c r="K79" s="45"/>
      <c r="L79" s="45"/>
      <c r="M79" s="45"/>
      <c r="N79" s="45">
        <v>1</v>
      </c>
      <c r="O79" s="45"/>
      <c r="P79" s="45"/>
      <c r="Q79" s="45"/>
      <c r="R79" s="45"/>
      <c r="S79" s="45"/>
      <c r="T79" s="45"/>
      <c r="U79" s="45">
        <v>1</v>
      </c>
      <c r="V79" s="45"/>
      <c r="W79" s="45"/>
      <c r="X79" s="45"/>
      <c r="Y79" s="45"/>
      <c r="Z79" s="45"/>
      <c r="AA79" s="45"/>
      <c r="AB79" s="48"/>
      <c r="AC79" s="31">
        <v>45952</v>
      </c>
    </row>
    <row r="80" ht="60" spans="1:29">
      <c r="A80" s="48">
        <v>78</v>
      </c>
      <c r="B80" s="30" t="s">
        <v>103</v>
      </c>
      <c r="C80" s="31">
        <v>45952</v>
      </c>
      <c r="D80" s="45">
        <f t="shared" si="1"/>
        <v>1.5</v>
      </c>
      <c r="E80" s="45"/>
      <c r="F80" s="45">
        <v>1.5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8"/>
      <c r="AC80" s="31">
        <v>45952</v>
      </c>
    </row>
    <row r="81" ht="60" spans="1:29">
      <c r="A81" s="48">
        <v>79</v>
      </c>
      <c r="B81" s="30" t="s">
        <v>104</v>
      </c>
      <c r="C81" s="31">
        <v>45824</v>
      </c>
      <c r="D81" s="45">
        <f t="shared" si="1"/>
        <v>5.5</v>
      </c>
      <c r="E81" s="45"/>
      <c r="F81" s="45">
        <v>4</v>
      </c>
      <c r="G81" s="45"/>
      <c r="H81" s="45">
        <v>1</v>
      </c>
      <c r="I81" s="45"/>
      <c r="J81" s="45">
        <v>0.5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8"/>
      <c r="AC81" s="31">
        <v>45824</v>
      </c>
    </row>
    <row r="82" ht="75" spans="1:29">
      <c r="A82" s="48">
        <v>80</v>
      </c>
      <c r="B82" s="30" t="s">
        <v>105</v>
      </c>
      <c r="C82" s="31">
        <v>45824</v>
      </c>
      <c r="D82" s="45">
        <f t="shared" si="1"/>
        <v>15</v>
      </c>
      <c r="E82" s="45">
        <v>1</v>
      </c>
      <c r="F82" s="45">
        <v>4</v>
      </c>
      <c r="G82" s="45"/>
      <c r="H82" s="45"/>
      <c r="I82" s="45"/>
      <c r="J82" s="45">
        <v>3</v>
      </c>
      <c r="K82" s="45"/>
      <c r="L82" s="45">
        <v>2</v>
      </c>
      <c r="M82" s="45"/>
      <c r="N82" s="45"/>
      <c r="O82" s="45"/>
      <c r="P82" s="45"/>
      <c r="Q82" s="45"/>
      <c r="R82" s="45"/>
      <c r="S82" s="45"/>
      <c r="T82" s="45"/>
      <c r="U82" s="45">
        <v>5</v>
      </c>
      <c r="V82" s="45"/>
      <c r="W82" s="45"/>
      <c r="X82" s="45"/>
      <c r="Y82" s="45"/>
      <c r="Z82" s="45"/>
      <c r="AA82" s="45"/>
      <c r="AB82" s="48"/>
      <c r="AC82" s="31">
        <v>45824</v>
      </c>
    </row>
    <row r="83" ht="30" spans="1:29">
      <c r="A83" s="48">
        <v>81</v>
      </c>
      <c r="B83" s="30" t="s">
        <v>106</v>
      </c>
      <c r="C83" s="31">
        <v>45824</v>
      </c>
      <c r="D83" s="45">
        <f t="shared" si="1"/>
        <v>23</v>
      </c>
      <c r="E83" s="45">
        <v>3</v>
      </c>
      <c r="F83" s="45">
        <v>8</v>
      </c>
      <c r="G83" s="45">
        <v>1</v>
      </c>
      <c r="H83" s="45">
        <v>6</v>
      </c>
      <c r="I83" s="45"/>
      <c r="J83" s="45"/>
      <c r="K83" s="45"/>
      <c r="L83" s="45"/>
      <c r="M83" s="45">
        <v>2</v>
      </c>
      <c r="N83" s="45"/>
      <c r="O83" s="45"/>
      <c r="P83" s="45"/>
      <c r="Q83" s="45"/>
      <c r="R83" s="45"/>
      <c r="S83" s="45"/>
      <c r="T83" s="45"/>
      <c r="U83" s="45">
        <v>3</v>
      </c>
      <c r="V83" s="45"/>
      <c r="W83" s="45"/>
      <c r="X83" s="45"/>
      <c r="Y83" s="45"/>
      <c r="Z83" s="45"/>
      <c r="AA83" s="45"/>
      <c r="AB83" s="48"/>
      <c r="AC83" s="31">
        <v>45824</v>
      </c>
    </row>
    <row r="84" ht="60" spans="1:29">
      <c r="A84" s="48">
        <v>82</v>
      </c>
      <c r="B84" s="30" t="s">
        <v>107</v>
      </c>
      <c r="C84" s="31">
        <v>45952</v>
      </c>
      <c r="D84" s="45">
        <f t="shared" si="1"/>
        <v>1</v>
      </c>
      <c r="E84" s="45"/>
      <c r="F84" s="45">
        <v>1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58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1">
        <v>45952</v>
      </c>
    </row>
    <row r="85" ht="60" spans="1:29">
      <c r="A85" s="48">
        <v>83</v>
      </c>
      <c r="B85" s="30" t="s">
        <v>108</v>
      </c>
      <c r="C85" s="31">
        <v>45824</v>
      </c>
      <c r="D85" s="45">
        <f t="shared" si="1"/>
        <v>7</v>
      </c>
      <c r="E85" s="45"/>
      <c r="F85" s="45">
        <v>2</v>
      </c>
      <c r="G85" s="45"/>
      <c r="H85" s="45">
        <v>3</v>
      </c>
      <c r="I85" s="45"/>
      <c r="J85" s="45">
        <v>1</v>
      </c>
      <c r="K85" s="45"/>
      <c r="L85" s="45"/>
      <c r="M85" s="45"/>
      <c r="N85" s="45">
        <v>1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8"/>
      <c r="AC85" s="31">
        <v>45824</v>
      </c>
    </row>
    <row r="86" ht="60" spans="1:29">
      <c r="A86" s="48">
        <v>84</v>
      </c>
      <c r="B86" s="30" t="s">
        <v>109</v>
      </c>
      <c r="C86" s="31">
        <v>45824</v>
      </c>
      <c r="D86" s="45">
        <f t="shared" si="1"/>
        <v>1.5</v>
      </c>
      <c r="E86" s="45"/>
      <c r="F86" s="45">
        <v>1.5</v>
      </c>
      <c r="G86" s="45"/>
      <c r="H86" s="45">
        <v>0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8"/>
      <c r="AC86" s="31">
        <v>45824</v>
      </c>
    </row>
    <row r="87" ht="75" spans="1:29">
      <c r="A87" s="48">
        <v>85</v>
      </c>
      <c r="B87" s="30" t="s">
        <v>110</v>
      </c>
      <c r="C87" s="31">
        <v>45824</v>
      </c>
      <c r="D87" s="45">
        <f t="shared" si="1"/>
        <v>4</v>
      </c>
      <c r="E87" s="45"/>
      <c r="F87" s="45">
        <v>1</v>
      </c>
      <c r="G87" s="45"/>
      <c r="H87" s="45">
        <v>1.5</v>
      </c>
      <c r="I87" s="45"/>
      <c r="J87" s="45"/>
      <c r="K87" s="45"/>
      <c r="L87" s="45"/>
      <c r="M87" s="45"/>
      <c r="N87" s="45">
        <v>1.5</v>
      </c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8"/>
      <c r="AC87" s="31">
        <v>45824</v>
      </c>
    </row>
    <row r="88" ht="75" spans="1:29">
      <c r="A88" s="48">
        <v>86</v>
      </c>
      <c r="B88" s="30" t="s">
        <v>111</v>
      </c>
      <c r="C88" s="31">
        <v>45824</v>
      </c>
      <c r="D88" s="45">
        <f t="shared" si="1"/>
        <v>4</v>
      </c>
      <c r="E88" s="45"/>
      <c r="F88" s="45">
        <v>1</v>
      </c>
      <c r="G88" s="45"/>
      <c r="H88" s="45">
        <v>1.5</v>
      </c>
      <c r="I88" s="45"/>
      <c r="J88" s="45"/>
      <c r="K88" s="45"/>
      <c r="L88" s="45"/>
      <c r="M88" s="45"/>
      <c r="N88" s="45">
        <v>1.5</v>
      </c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8"/>
      <c r="AC88" s="31">
        <v>45824</v>
      </c>
    </row>
    <row r="89" ht="75" spans="1:29">
      <c r="A89" s="48">
        <v>87</v>
      </c>
      <c r="B89" s="30" t="s">
        <v>112</v>
      </c>
      <c r="C89" s="31">
        <v>45824</v>
      </c>
      <c r="D89" s="45">
        <f t="shared" si="1"/>
        <v>7</v>
      </c>
      <c r="E89" s="45"/>
      <c r="F89" s="45">
        <v>2</v>
      </c>
      <c r="G89" s="45"/>
      <c r="H89" s="45">
        <v>2</v>
      </c>
      <c r="I89" s="45"/>
      <c r="J89" s="45"/>
      <c r="K89" s="45"/>
      <c r="L89" s="45"/>
      <c r="M89" s="45"/>
      <c r="N89" s="45">
        <v>3</v>
      </c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8"/>
      <c r="AC89" s="31">
        <v>45824</v>
      </c>
    </row>
    <row r="90" ht="60" spans="1:29">
      <c r="A90" s="48">
        <v>88</v>
      </c>
      <c r="B90" s="30" t="s">
        <v>113</v>
      </c>
      <c r="C90" s="31">
        <v>45824</v>
      </c>
      <c r="D90" s="45">
        <f t="shared" si="1"/>
        <v>18</v>
      </c>
      <c r="E90" s="45"/>
      <c r="F90" s="45"/>
      <c r="G90" s="45"/>
      <c r="H90" s="45">
        <v>4.5</v>
      </c>
      <c r="I90" s="45"/>
      <c r="J90" s="45">
        <v>2.5</v>
      </c>
      <c r="K90" s="45"/>
      <c r="L90" s="45">
        <v>1</v>
      </c>
      <c r="M90" s="45"/>
      <c r="N90" s="45">
        <v>5</v>
      </c>
      <c r="O90" s="45"/>
      <c r="P90" s="45"/>
      <c r="Q90" s="45"/>
      <c r="R90" s="45"/>
      <c r="S90" s="45"/>
      <c r="T90" s="45"/>
      <c r="U90" s="45">
        <v>5</v>
      </c>
      <c r="V90" s="45"/>
      <c r="W90" s="45"/>
      <c r="X90" s="45"/>
      <c r="Y90" s="45"/>
      <c r="Z90" s="45"/>
      <c r="AA90" s="45"/>
      <c r="AB90" s="48"/>
      <c r="AC90" s="31">
        <v>45824</v>
      </c>
    </row>
    <row r="91" ht="60" spans="1:29">
      <c r="A91" s="48">
        <v>89</v>
      </c>
      <c r="B91" s="30" t="s">
        <v>114</v>
      </c>
      <c r="C91" s="31">
        <v>45824</v>
      </c>
      <c r="D91" s="45">
        <f t="shared" si="1"/>
        <v>2</v>
      </c>
      <c r="E91" s="45"/>
      <c r="F91" s="45">
        <v>2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58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1">
        <v>45824</v>
      </c>
    </row>
    <row r="92" ht="60" spans="1:29">
      <c r="A92" s="48">
        <v>90</v>
      </c>
      <c r="B92" s="30" t="s">
        <v>115</v>
      </c>
      <c r="C92" s="31">
        <v>45824</v>
      </c>
      <c r="D92" s="45">
        <f t="shared" si="1"/>
        <v>3.5</v>
      </c>
      <c r="E92" s="45"/>
      <c r="F92" s="45">
        <v>2</v>
      </c>
      <c r="G92" s="45"/>
      <c r="H92" s="45">
        <v>1</v>
      </c>
      <c r="I92" s="45"/>
      <c r="J92" s="45"/>
      <c r="K92" s="45"/>
      <c r="L92" s="45">
        <v>0.5</v>
      </c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8"/>
      <c r="AC92" s="31">
        <v>45824</v>
      </c>
    </row>
    <row r="93" ht="60" spans="1:29">
      <c r="A93" s="48">
        <v>91</v>
      </c>
      <c r="B93" s="30" t="s">
        <v>116</v>
      </c>
      <c r="C93" s="31">
        <v>45824</v>
      </c>
      <c r="D93" s="45">
        <f t="shared" si="1"/>
        <v>2.5</v>
      </c>
      <c r="E93" s="45"/>
      <c r="F93" s="45">
        <v>0.5</v>
      </c>
      <c r="G93" s="45"/>
      <c r="H93" s="45">
        <v>2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8"/>
      <c r="AC93" s="31">
        <v>45824</v>
      </c>
    </row>
    <row r="94" ht="75" spans="1:29">
      <c r="A94" s="48">
        <v>92</v>
      </c>
      <c r="B94" s="30" t="s">
        <v>117</v>
      </c>
      <c r="C94" s="31">
        <v>45824</v>
      </c>
      <c r="D94" s="45">
        <f t="shared" si="1"/>
        <v>12.5</v>
      </c>
      <c r="E94" s="45">
        <v>2.5</v>
      </c>
      <c r="F94" s="45"/>
      <c r="G94" s="45"/>
      <c r="H94" s="45">
        <v>5</v>
      </c>
      <c r="I94" s="45"/>
      <c r="J94" s="45">
        <v>0.5</v>
      </c>
      <c r="K94" s="45"/>
      <c r="L94" s="45">
        <v>0.1</v>
      </c>
      <c r="M94" s="45"/>
      <c r="N94" s="45">
        <v>0.4</v>
      </c>
      <c r="O94" s="45">
        <v>3</v>
      </c>
      <c r="P94" s="45"/>
      <c r="Q94" s="45"/>
      <c r="R94" s="45"/>
      <c r="S94" s="45"/>
      <c r="T94" s="45"/>
      <c r="U94" s="45">
        <v>1</v>
      </c>
      <c r="V94" s="45"/>
      <c r="W94" s="45"/>
      <c r="X94" s="45"/>
      <c r="Y94" s="45"/>
      <c r="Z94" s="45"/>
      <c r="AA94" s="45"/>
      <c r="AB94" s="48"/>
      <c r="AC94" s="31">
        <v>45824</v>
      </c>
    </row>
    <row r="95" ht="75" spans="1:29">
      <c r="A95" s="48">
        <v>93</v>
      </c>
      <c r="B95" s="30" t="s">
        <v>118</v>
      </c>
      <c r="C95" s="31">
        <v>45824</v>
      </c>
      <c r="D95" s="45">
        <f t="shared" si="1"/>
        <v>9</v>
      </c>
      <c r="E95" s="45">
        <v>1</v>
      </c>
      <c r="F95" s="45">
        <v>2</v>
      </c>
      <c r="G95" s="45"/>
      <c r="H95" s="45">
        <v>2</v>
      </c>
      <c r="I95" s="45"/>
      <c r="J95" s="45">
        <v>1</v>
      </c>
      <c r="K95" s="45"/>
      <c r="L95" s="45">
        <v>0.1</v>
      </c>
      <c r="M95" s="45"/>
      <c r="N95" s="45">
        <v>1.9</v>
      </c>
      <c r="O95" s="45"/>
      <c r="P95" s="45"/>
      <c r="Q95" s="45"/>
      <c r="R95" s="45"/>
      <c r="S95" s="45"/>
      <c r="T95" s="45"/>
      <c r="U95" s="45">
        <v>1</v>
      </c>
      <c r="V95" s="45"/>
      <c r="W95" s="45"/>
      <c r="X95" s="45"/>
      <c r="Y95" s="45"/>
      <c r="Z95" s="45"/>
      <c r="AA95" s="45"/>
      <c r="AB95" s="48"/>
      <c r="AC95" s="31">
        <v>45824</v>
      </c>
    </row>
    <row r="96" ht="75" spans="1:29">
      <c r="A96" s="48">
        <v>94</v>
      </c>
      <c r="B96" s="30" t="s">
        <v>119</v>
      </c>
      <c r="C96" s="31">
        <v>45824</v>
      </c>
      <c r="D96" s="45">
        <f t="shared" si="1"/>
        <v>14.5</v>
      </c>
      <c r="E96" s="45">
        <v>5</v>
      </c>
      <c r="F96" s="45"/>
      <c r="G96" s="45"/>
      <c r="H96" s="45">
        <v>2</v>
      </c>
      <c r="I96" s="45"/>
      <c r="J96" s="45">
        <v>0.5</v>
      </c>
      <c r="K96" s="45"/>
      <c r="L96" s="45"/>
      <c r="M96" s="45"/>
      <c r="N96" s="45">
        <v>3</v>
      </c>
      <c r="O96" s="45">
        <v>3</v>
      </c>
      <c r="P96" s="45"/>
      <c r="Q96" s="45"/>
      <c r="R96" s="45"/>
      <c r="S96" s="45"/>
      <c r="T96" s="45"/>
      <c r="U96" s="45">
        <v>1</v>
      </c>
      <c r="V96" s="45"/>
      <c r="W96" s="45"/>
      <c r="X96" s="45"/>
      <c r="Y96" s="45"/>
      <c r="Z96" s="45"/>
      <c r="AA96" s="45"/>
      <c r="AB96" s="48"/>
      <c r="AC96" s="31">
        <v>45824</v>
      </c>
    </row>
    <row r="97" ht="60" spans="1:29">
      <c r="A97" s="48">
        <v>95</v>
      </c>
      <c r="B97" s="30" t="s">
        <v>120</v>
      </c>
      <c r="C97" s="31">
        <v>45952</v>
      </c>
      <c r="D97" s="45">
        <f t="shared" si="1"/>
        <v>1.5</v>
      </c>
      <c r="E97" s="45"/>
      <c r="F97" s="45">
        <v>1.5</v>
      </c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8"/>
      <c r="AC97" s="31">
        <v>45952</v>
      </c>
    </row>
    <row r="98" ht="60" spans="1:29">
      <c r="A98" s="59">
        <v>96</v>
      </c>
      <c r="B98" s="30" t="s">
        <v>121</v>
      </c>
      <c r="C98" s="31">
        <v>46057</v>
      </c>
      <c r="D98" s="45">
        <f t="shared" si="1"/>
        <v>8</v>
      </c>
      <c r="E98" s="45"/>
      <c r="F98" s="45">
        <v>1</v>
      </c>
      <c r="G98" s="45"/>
      <c r="H98" s="45"/>
      <c r="I98" s="45"/>
      <c r="J98" s="45">
        <v>2</v>
      </c>
      <c r="K98" s="45"/>
      <c r="L98" s="45">
        <v>2</v>
      </c>
      <c r="M98" s="45"/>
      <c r="N98" s="45">
        <v>2</v>
      </c>
      <c r="O98" s="45"/>
      <c r="P98" s="45"/>
      <c r="Q98" s="45"/>
      <c r="R98" s="45"/>
      <c r="S98" s="45"/>
      <c r="T98" s="45"/>
      <c r="U98" s="45">
        <v>1</v>
      </c>
      <c r="V98" s="45"/>
      <c r="W98" s="45"/>
      <c r="X98" s="45"/>
      <c r="Y98" s="45"/>
      <c r="Z98" s="45"/>
      <c r="AA98" s="45"/>
      <c r="AB98" s="48"/>
      <c r="AC98" s="31">
        <v>46057</v>
      </c>
    </row>
    <row r="99" ht="60" spans="1:29">
      <c r="A99" s="48">
        <v>97</v>
      </c>
      <c r="B99" s="30" t="s">
        <v>122</v>
      </c>
      <c r="C99" s="31">
        <v>45824</v>
      </c>
      <c r="D99" s="45">
        <f t="shared" si="1"/>
        <v>2</v>
      </c>
      <c r="E99" s="45"/>
      <c r="F99" s="45">
        <v>1.8</v>
      </c>
      <c r="G99" s="45"/>
      <c r="H99" s="45"/>
      <c r="I99" s="45"/>
      <c r="J99" s="45">
        <v>0.2</v>
      </c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8"/>
      <c r="AC99" s="31">
        <v>45824</v>
      </c>
    </row>
    <row r="100" ht="60" spans="1:29">
      <c r="A100" s="48">
        <v>98</v>
      </c>
      <c r="B100" s="30" t="s">
        <v>123</v>
      </c>
      <c r="C100" s="31">
        <v>45824</v>
      </c>
      <c r="D100" s="45">
        <f t="shared" si="1"/>
        <v>4.5</v>
      </c>
      <c r="E100" s="45"/>
      <c r="F100" s="45">
        <v>2</v>
      </c>
      <c r="G100" s="45"/>
      <c r="H100" s="45">
        <v>2</v>
      </c>
      <c r="I100" s="45"/>
      <c r="J100" s="45"/>
      <c r="K100" s="45"/>
      <c r="L100" s="45"/>
      <c r="M100" s="45"/>
      <c r="N100" s="45">
        <v>0.5</v>
      </c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8"/>
      <c r="AC100" s="31">
        <v>45824</v>
      </c>
    </row>
    <row r="101" ht="60" spans="1:29">
      <c r="A101" s="48">
        <v>99</v>
      </c>
      <c r="B101" s="30" t="s">
        <v>124</v>
      </c>
      <c r="C101" s="31">
        <v>45824</v>
      </c>
      <c r="D101" s="45">
        <f t="shared" si="1"/>
        <v>8</v>
      </c>
      <c r="E101" s="45">
        <v>1</v>
      </c>
      <c r="F101" s="45">
        <v>1</v>
      </c>
      <c r="G101" s="45"/>
      <c r="H101" s="45">
        <v>2</v>
      </c>
      <c r="I101" s="45"/>
      <c r="J101" s="45">
        <v>2</v>
      </c>
      <c r="K101" s="45"/>
      <c r="L101" s="45">
        <v>0.5</v>
      </c>
      <c r="M101" s="45"/>
      <c r="N101" s="45">
        <v>1.5</v>
      </c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8"/>
      <c r="AC101" s="31">
        <v>45824</v>
      </c>
    </row>
    <row r="102" ht="60" spans="1:29">
      <c r="A102" s="48">
        <v>100</v>
      </c>
      <c r="B102" s="30" t="s">
        <v>125</v>
      </c>
      <c r="C102" s="31">
        <v>45824</v>
      </c>
      <c r="D102" s="45">
        <f t="shared" si="1"/>
        <v>3</v>
      </c>
      <c r="E102" s="45"/>
      <c r="F102" s="45">
        <v>2</v>
      </c>
      <c r="G102" s="45"/>
      <c r="H102" s="45">
        <v>1</v>
      </c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8"/>
      <c r="AC102" s="31">
        <v>45824</v>
      </c>
    </row>
    <row r="103" ht="60" spans="1:29">
      <c r="A103" s="48">
        <v>101</v>
      </c>
      <c r="B103" s="30" t="s">
        <v>126</v>
      </c>
      <c r="C103" s="31">
        <v>45824</v>
      </c>
      <c r="D103" s="45">
        <f t="shared" si="1"/>
        <v>3</v>
      </c>
      <c r="E103" s="45"/>
      <c r="F103" s="45">
        <v>2</v>
      </c>
      <c r="G103" s="45"/>
      <c r="H103" s="45"/>
      <c r="I103" s="45"/>
      <c r="J103" s="45">
        <v>1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8"/>
      <c r="AC103" s="31">
        <v>45824</v>
      </c>
    </row>
    <row r="104" ht="75" spans="1:29">
      <c r="A104" s="48">
        <v>102</v>
      </c>
      <c r="B104" s="30" t="s">
        <v>127</v>
      </c>
      <c r="C104" s="31">
        <v>45824</v>
      </c>
      <c r="D104" s="45">
        <f t="shared" si="1"/>
        <v>2.5</v>
      </c>
      <c r="E104" s="45"/>
      <c r="F104" s="45"/>
      <c r="G104" s="45"/>
      <c r="H104" s="45">
        <v>1.5</v>
      </c>
      <c r="I104" s="45"/>
      <c r="J104" s="45">
        <v>1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8"/>
      <c r="AC104" s="31">
        <v>45824</v>
      </c>
    </row>
    <row r="105" ht="60" spans="1:29">
      <c r="A105" s="59">
        <v>103</v>
      </c>
      <c r="B105" s="30" t="s">
        <v>128</v>
      </c>
      <c r="C105" s="31">
        <v>46057</v>
      </c>
      <c r="D105" s="45">
        <f t="shared" si="1"/>
        <v>15</v>
      </c>
      <c r="E105" s="45">
        <v>3</v>
      </c>
      <c r="F105" s="45">
        <v>3</v>
      </c>
      <c r="G105" s="45">
        <v>3</v>
      </c>
      <c r="H105" s="45">
        <v>3</v>
      </c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>
        <v>3</v>
      </c>
      <c r="V105" s="45"/>
      <c r="W105" s="45"/>
      <c r="X105" s="45"/>
      <c r="Y105" s="45"/>
      <c r="Z105" s="45"/>
      <c r="AA105" s="45"/>
      <c r="AB105" s="48"/>
      <c r="AC105" s="31">
        <v>46057</v>
      </c>
    </row>
    <row r="106" ht="45" spans="1:29">
      <c r="A106" s="48">
        <v>104</v>
      </c>
      <c r="B106" s="30" t="s">
        <v>129</v>
      </c>
      <c r="C106" s="31">
        <v>45824</v>
      </c>
      <c r="D106" s="45">
        <f t="shared" si="1"/>
        <v>6</v>
      </c>
      <c r="E106" s="45"/>
      <c r="F106" s="45"/>
      <c r="G106" s="45"/>
      <c r="H106" s="45">
        <v>3</v>
      </c>
      <c r="I106" s="45"/>
      <c r="J106" s="45"/>
      <c r="K106" s="45"/>
      <c r="L106" s="45"/>
      <c r="M106" s="45"/>
      <c r="N106" s="45">
        <v>3</v>
      </c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8"/>
      <c r="AC106" s="31">
        <v>45824</v>
      </c>
    </row>
    <row r="107" ht="30" spans="1:29">
      <c r="A107" s="48">
        <v>105</v>
      </c>
      <c r="B107" s="30" t="s">
        <v>130</v>
      </c>
      <c r="C107" s="31">
        <v>45824</v>
      </c>
      <c r="D107" s="45">
        <f t="shared" si="1"/>
        <v>18</v>
      </c>
      <c r="E107" s="45">
        <v>3</v>
      </c>
      <c r="F107" s="45"/>
      <c r="G107" s="45"/>
      <c r="H107" s="45"/>
      <c r="I107" s="45"/>
      <c r="J107" s="45">
        <v>15</v>
      </c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8"/>
      <c r="AC107" s="31">
        <v>45824</v>
      </c>
    </row>
    <row r="108" ht="30" spans="1:29">
      <c r="A108" s="48">
        <v>106</v>
      </c>
      <c r="B108" s="30" t="s">
        <v>131</v>
      </c>
      <c r="C108" s="31">
        <v>45824</v>
      </c>
      <c r="D108" s="45">
        <f t="shared" si="1"/>
        <v>20</v>
      </c>
      <c r="E108" s="45">
        <v>2</v>
      </c>
      <c r="F108" s="45"/>
      <c r="G108" s="45"/>
      <c r="H108" s="45"/>
      <c r="I108" s="45"/>
      <c r="J108" s="45">
        <v>18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8"/>
      <c r="AC108" s="31">
        <v>45824</v>
      </c>
    </row>
    <row r="109" ht="45" spans="1:29">
      <c r="A109" s="48">
        <v>107</v>
      </c>
      <c r="B109" s="30" t="s">
        <v>132</v>
      </c>
      <c r="C109" s="31">
        <v>45824</v>
      </c>
      <c r="D109" s="45">
        <f t="shared" si="1"/>
        <v>5</v>
      </c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>
        <v>5</v>
      </c>
      <c r="X109" s="45"/>
      <c r="Y109" s="45"/>
      <c r="Z109" s="45"/>
      <c r="AA109" s="45"/>
      <c r="AB109" s="48"/>
      <c r="AC109" s="31">
        <v>45824</v>
      </c>
    </row>
    <row r="110" ht="60" spans="1:29">
      <c r="A110" s="48">
        <v>108</v>
      </c>
      <c r="B110" s="30" t="s">
        <v>133</v>
      </c>
      <c r="C110" s="31">
        <v>45824</v>
      </c>
      <c r="D110" s="45">
        <f t="shared" si="1"/>
        <v>4</v>
      </c>
      <c r="E110" s="45"/>
      <c r="F110" s="45"/>
      <c r="G110" s="45"/>
      <c r="H110" s="45"/>
      <c r="I110" s="45"/>
      <c r="J110" s="45">
        <v>1</v>
      </c>
      <c r="K110" s="45"/>
      <c r="L110" s="45"/>
      <c r="M110" s="45"/>
      <c r="N110" s="45">
        <v>3</v>
      </c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8"/>
      <c r="AC110" s="31">
        <v>45824</v>
      </c>
    </row>
    <row r="111" ht="60" spans="1:29">
      <c r="A111" s="48">
        <v>109</v>
      </c>
      <c r="B111" s="30" t="s">
        <v>134</v>
      </c>
      <c r="C111" s="31">
        <v>45824</v>
      </c>
      <c r="D111" s="45">
        <f t="shared" si="1"/>
        <v>2</v>
      </c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8">
        <v>2</v>
      </c>
      <c r="AC111" s="31">
        <v>45824</v>
      </c>
    </row>
    <row r="112" ht="45" spans="1:29">
      <c r="A112" s="48">
        <v>110</v>
      </c>
      <c r="B112" s="30" t="s">
        <v>135</v>
      </c>
      <c r="C112" s="31">
        <v>45824</v>
      </c>
      <c r="D112" s="45">
        <f t="shared" si="1"/>
        <v>25</v>
      </c>
      <c r="E112" s="45"/>
      <c r="F112" s="45"/>
      <c r="G112" s="45"/>
      <c r="H112" s="45"/>
      <c r="I112" s="45"/>
      <c r="J112" s="45">
        <v>2</v>
      </c>
      <c r="K112" s="45"/>
      <c r="L112" s="45"/>
      <c r="M112" s="45"/>
      <c r="N112" s="45"/>
      <c r="O112" s="45"/>
      <c r="P112" s="45"/>
      <c r="Q112" s="45">
        <v>23</v>
      </c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8"/>
      <c r="AC112" s="31">
        <v>45824</v>
      </c>
    </row>
    <row r="113" ht="45" spans="1:29">
      <c r="A113" s="48">
        <v>111</v>
      </c>
      <c r="B113" s="30" t="s">
        <v>136</v>
      </c>
      <c r="C113" s="31">
        <v>45824</v>
      </c>
      <c r="D113" s="45">
        <f t="shared" si="1"/>
        <v>3</v>
      </c>
      <c r="E113" s="45"/>
      <c r="F113" s="45"/>
      <c r="G113" s="45"/>
      <c r="H113" s="45"/>
      <c r="I113" s="45"/>
      <c r="J113" s="45"/>
      <c r="K113" s="45"/>
      <c r="L113" s="45"/>
      <c r="M113" s="45"/>
      <c r="N113" s="45">
        <v>3</v>
      </c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8"/>
      <c r="AC113" s="31">
        <v>45824</v>
      </c>
    </row>
    <row r="114" ht="45" spans="1:29">
      <c r="A114" s="48">
        <v>112</v>
      </c>
      <c r="B114" s="30" t="s">
        <v>137</v>
      </c>
      <c r="C114" s="31">
        <v>45824</v>
      </c>
      <c r="D114" s="45">
        <f t="shared" si="1"/>
        <v>5</v>
      </c>
      <c r="E114" s="45"/>
      <c r="F114" s="45"/>
      <c r="G114" s="45"/>
      <c r="H114" s="45"/>
      <c r="I114" s="45"/>
      <c r="J114" s="45"/>
      <c r="K114" s="45"/>
      <c r="L114" s="45"/>
      <c r="M114" s="45"/>
      <c r="N114" s="45">
        <v>5</v>
      </c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8"/>
      <c r="AC114" s="31">
        <v>45824</v>
      </c>
    </row>
    <row r="115" ht="45" spans="1:29">
      <c r="A115" s="48">
        <v>113</v>
      </c>
      <c r="B115" s="30" t="s">
        <v>138</v>
      </c>
      <c r="C115" s="31">
        <v>45824</v>
      </c>
      <c r="D115" s="45">
        <f t="shared" si="1"/>
        <v>5</v>
      </c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>
        <v>3</v>
      </c>
      <c r="AB115" s="48">
        <v>2</v>
      </c>
      <c r="AC115" s="31">
        <v>45824</v>
      </c>
    </row>
    <row r="116" ht="45" spans="1:29">
      <c r="A116" s="48">
        <v>114</v>
      </c>
      <c r="B116" s="30" t="s">
        <v>139</v>
      </c>
      <c r="C116" s="31">
        <v>45824</v>
      </c>
      <c r="D116" s="45">
        <f t="shared" si="1"/>
        <v>2.5</v>
      </c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>
        <v>2</v>
      </c>
      <c r="AB116" s="48">
        <v>0.5</v>
      </c>
      <c r="AC116" s="31">
        <v>45824</v>
      </c>
    </row>
    <row r="117" ht="60" spans="1:29">
      <c r="A117" s="48">
        <v>115</v>
      </c>
      <c r="B117" s="30" t="s">
        <v>140</v>
      </c>
      <c r="C117" s="31">
        <v>45824</v>
      </c>
      <c r="D117" s="45">
        <f t="shared" si="1"/>
        <v>2</v>
      </c>
      <c r="E117" s="45"/>
      <c r="F117" s="45">
        <v>1</v>
      </c>
      <c r="G117" s="45"/>
      <c r="H117" s="45">
        <v>1</v>
      </c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8"/>
      <c r="AC117" s="31">
        <v>45824</v>
      </c>
    </row>
    <row r="118" ht="45" spans="1:29">
      <c r="A118" s="48">
        <v>116</v>
      </c>
      <c r="B118" s="30" t="s">
        <v>141</v>
      </c>
      <c r="C118" s="31">
        <v>45824</v>
      </c>
      <c r="D118" s="45">
        <f t="shared" si="1"/>
        <v>3</v>
      </c>
      <c r="E118" s="45"/>
      <c r="F118" s="45"/>
      <c r="G118" s="45">
        <v>3</v>
      </c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8"/>
      <c r="AC118" s="31">
        <v>45824</v>
      </c>
    </row>
    <row r="119" ht="45" spans="1:29">
      <c r="A119" s="48">
        <v>117</v>
      </c>
      <c r="B119" s="30" t="s">
        <v>142</v>
      </c>
      <c r="C119" s="31">
        <v>45824</v>
      </c>
      <c r="D119" s="45">
        <f t="shared" si="1"/>
        <v>6</v>
      </c>
      <c r="E119" s="45"/>
      <c r="F119" s="45"/>
      <c r="G119" s="45">
        <v>2</v>
      </c>
      <c r="H119" s="45">
        <v>2</v>
      </c>
      <c r="I119" s="45"/>
      <c r="J119" s="45">
        <v>2</v>
      </c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8"/>
      <c r="AC119" s="31">
        <v>45824</v>
      </c>
    </row>
    <row r="120" ht="45" spans="1:29">
      <c r="A120" s="48">
        <v>118</v>
      </c>
      <c r="B120" s="30" t="s">
        <v>143</v>
      </c>
      <c r="C120" s="31">
        <v>45824</v>
      </c>
      <c r="D120" s="45">
        <f t="shared" si="1"/>
        <v>3</v>
      </c>
      <c r="E120" s="45"/>
      <c r="F120" s="45"/>
      <c r="G120" s="45">
        <v>3</v>
      </c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8"/>
      <c r="AC120" s="31">
        <v>45824</v>
      </c>
    </row>
    <row r="121" ht="60" spans="1:29">
      <c r="A121" s="48">
        <v>119</v>
      </c>
      <c r="B121" s="30" t="s">
        <v>144</v>
      </c>
      <c r="C121" s="31">
        <v>45824</v>
      </c>
      <c r="D121" s="45">
        <f t="shared" si="1"/>
        <v>20</v>
      </c>
      <c r="E121" s="45"/>
      <c r="F121" s="45"/>
      <c r="G121" s="45">
        <v>20</v>
      </c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8"/>
      <c r="AC121" s="31">
        <v>45824</v>
      </c>
    </row>
    <row r="122" ht="45" spans="1:29">
      <c r="A122" s="48">
        <v>120</v>
      </c>
      <c r="B122" s="30" t="s">
        <v>145</v>
      </c>
      <c r="C122" s="31">
        <v>45824</v>
      </c>
      <c r="D122" s="45">
        <f t="shared" si="1"/>
        <v>5</v>
      </c>
      <c r="E122" s="45"/>
      <c r="F122" s="45"/>
      <c r="G122" s="45">
        <v>4</v>
      </c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>
        <v>1</v>
      </c>
      <c r="X122" s="45"/>
      <c r="Y122" s="45"/>
      <c r="Z122" s="45"/>
      <c r="AA122" s="45"/>
      <c r="AB122" s="48"/>
      <c r="AC122" s="31">
        <v>45824</v>
      </c>
    </row>
    <row r="123" ht="45" spans="1:29">
      <c r="A123" s="48">
        <v>121</v>
      </c>
      <c r="B123" s="30" t="s">
        <v>146</v>
      </c>
      <c r="C123" s="31">
        <v>45824</v>
      </c>
      <c r="D123" s="45">
        <f t="shared" si="1"/>
        <v>5</v>
      </c>
      <c r="E123" s="45"/>
      <c r="F123" s="45"/>
      <c r="G123" s="45">
        <v>3</v>
      </c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>
        <v>2</v>
      </c>
      <c r="X123" s="45"/>
      <c r="Y123" s="45"/>
      <c r="Z123" s="45"/>
      <c r="AA123" s="45"/>
      <c r="AB123" s="48"/>
      <c r="AC123" s="31">
        <v>45824</v>
      </c>
    </row>
    <row r="124" ht="60" spans="1:29">
      <c r="A124" s="48">
        <v>122</v>
      </c>
      <c r="B124" s="30" t="s">
        <v>147</v>
      </c>
      <c r="C124" s="31">
        <v>45824</v>
      </c>
      <c r="D124" s="45">
        <f t="shared" si="1"/>
        <v>5</v>
      </c>
      <c r="E124" s="45"/>
      <c r="F124" s="45"/>
      <c r="G124" s="45">
        <v>3</v>
      </c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>
        <v>2</v>
      </c>
      <c r="X124" s="45"/>
      <c r="Y124" s="45"/>
      <c r="Z124" s="45"/>
      <c r="AA124" s="45"/>
      <c r="AB124" s="48"/>
      <c r="AC124" s="31">
        <v>45824</v>
      </c>
    </row>
    <row r="125" ht="45" spans="1:29">
      <c r="A125" s="48">
        <v>123</v>
      </c>
      <c r="B125" s="30" t="s">
        <v>148</v>
      </c>
      <c r="C125" s="31">
        <v>45824</v>
      </c>
      <c r="D125" s="45">
        <f t="shared" si="1"/>
        <v>13</v>
      </c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>
        <v>5</v>
      </c>
      <c r="R125" s="45"/>
      <c r="S125" s="45"/>
      <c r="T125" s="45"/>
      <c r="U125" s="45"/>
      <c r="V125" s="45"/>
      <c r="W125" s="45"/>
      <c r="X125" s="45"/>
      <c r="Y125" s="45"/>
      <c r="Z125" s="45"/>
      <c r="AA125" s="45">
        <v>3</v>
      </c>
      <c r="AB125" s="48">
        <v>5</v>
      </c>
      <c r="AC125" s="31">
        <v>45824</v>
      </c>
    </row>
    <row r="126" ht="45" spans="1:29">
      <c r="A126" s="48">
        <v>124</v>
      </c>
      <c r="B126" s="30" t="s">
        <v>149</v>
      </c>
      <c r="C126" s="31">
        <v>45824</v>
      </c>
      <c r="D126" s="45">
        <f t="shared" si="1"/>
        <v>5</v>
      </c>
      <c r="E126" s="45"/>
      <c r="F126" s="45"/>
      <c r="G126" s="45">
        <v>4</v>
      </c>
      <c r="H126" s="45">
        <v>1</v>
      </c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8"/>
      <c r="AC126" s="31">
        <v>45824</v>
      </c>
    </row>
    <row r="127" ht="45" spans="1:29">
      <c r="A127" s="48">
        <v>125</v>
      </c>
      <c r="B127" s="30" t="s">
        <v>150</v>
      </c>
      <c r="C127" s="31">
        <v>45824</v>
      </c>
      <c r="D127" s="45">
        <f t="shared" si="1"/>
        <v>3</v>
      </c>
      <c r="E127" s="45"/>
      <c r="F127" s="45"/>
      <c r="G127" s="45">
        <v>3</v>
      </c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8"/>
      <c r="AC127" s="31">
        <v>45824</v>
      </c>
    </row>
    <row r="128" ht="45" spans="1:29">
      <c r="A128" s="48">
        <v>126</v>
      </c>
      <c r="B128" s="30" t="s">
        <v>151</v>
      </c>
      <c r="C128" s="31">
        <v>45824</v>
      </c>
      <c r="D128" s="45">
        <f t="shared" si="1"/>
        <v>8</v>
      </c>
      <c r="E128" s="45"/>
      <c r="F128" s="45"/>
      <c r="G128" s="45">
        <v>5</v>
      </c>
      <c r="H128" s="45"/>
      <c r="I128" s="45"/>
      <c r="J128" s="45"/>
      <c r="K128" s="45"/>
      <c r="L128" s="45"/>
      <c r="M128" s="45">
        <v>3</v>
      </c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8"/>
      <c r="AC128" s="31">
        <v>45824</v>
      </c>
    </row>
    <row r="129" ht="75" spans="1:29">
      <c r="A129" s="48">
        <v>127</v>
      </c>
      <c r="B129" s="30" t="s">
        <v>152</v>
      </c>
      <c r="C129" s="31">
        <v>45824</v>
      </c>
      <c r="D129" s="45">
        <f t="shared" si="1"/>
        <v>5</v>
      </c>
      <c r="E129" s="45"/>
      <c r="F129" s="45">
        <v>2</v>
      </c>
      <c r="G129" s="45"/>
      <c r="H129" s="45">
        <v>2</v>
      </c>
      <c r="I129" s="45"/>
      <c r="J129" s="45">
        <v>1</v>
      </c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8"/>
      <c r="AC129" s="31">
        <v>45824</v>
      </c>
    </row>
    <row r="130" ht="45" spans="1:29">
      <c r="A130" s="48">
        <v>128</v>
      </c>
      <c r="B130" s="30" t="s">
        <v>153</v>
      </c>
      <c r="C130" s="31">
        <v>45824</v>
      </c>
      <c r="D130" s="45">
        <f t="shared" si="1"/>
        <v>8</v>
      </c>
      <c r="E130" s="45"/>
      <c r="F130" s="60"/>
      <c r="G130" s="60">
        <v>3</v>
      </c>
      <c r="H130" s="60"/>
      <c r="I130" s="60"/>
      <c r="J130" s="60"/>
      <c r="K130" s="45"/>
      <c r="L130" s="45"/>
      <c r="M130" s="45">
        <v>5</v>
      </c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8"/>
      <c r="AC130" s="31">
        <v>45824</v>
      </c>
    </row>
    <row r="131" ht="45" spans="1:29">
      <c r="A131" s="48">
        <v>129</v>
      </c>
      <c r="B131" s="30" t="s">
        <v>154</v>
      </c>
      <c r="C131" s="31">
        <v>45824</v>
      </c>
      <c r="D131" s="45">
        <f t="shared" ref="D131:D136" si="2">SUM(E131:AB131)</f>
        <v>8</v>
      </c>
      <c r="E131" s="45"/>
      <c r="F131" s="45"/>
      <c r="G131" s="45">
        <v>5</v>
      </c>
      <c r="H131" s="45"/>
      <c r="I131" s="45"/>
      <c r="J131" s="45"/>
      <c r="K131" s="45"/>
      <c r="L131" s="45"/>
      <c r="M131" s="45">
        <v>3</v>
      </c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8"/>
      <c r="AC131" s="31">
        <v>45824</v>
      </c>
    </row>
    <row r="132" ht="45" spans="1:29">
      <c r="A132" s="48">
        <v>130</v>
      </c>
      <c r="B132" s="30" t="s">
        <v>155</v>
      </c>
      <c r="C132" s="31">
        <v>45824</v>
      </c>
      <c r="D132" s="45">
        <f t="shared" si="2"/>
        <v>1.25</v>
      </c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>
        <v>1.25</v>
      </c>
      <c r="X132" s="45"/>
      <c r="Y132" s="45"/>
      <c r="Z132" s="45"/>
      <c r="AA132" s="45"/>
      <c r="AB132" s="48"/>
      <c r="AC132" s="31">
        <v>45824</v>
      </c>
    </row>
    <row r="133" ht="45" spans="1:29">
      <c r="A133" s="48">
        <v>131</v>
      </c>
      <c r="B133" s="30" t="s">
        <v>156</v>
      </c>
      <c r="C133" s="31">
        <v>45824</v>
      </c>
      <c r="D133" s="45">
        <f t="shared" si="2"/>
        <v>5</v>
      </c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>
        <v>5</v>
      </c>
      <c r="X133" s="45"/>
      <c r="Y133" s="45"/>
      <c r="Z133" s="45"/>
      <c r="AA133" s="45"/>
      <c r="AB133" s="48"/>
      <c r="AC133" s="31">
        <v>45824</v>
      </c>
    </row>
    <row r="134" ht="60" spans="1:29">
      <c r="A134" s="48">
        <v>132</v>
      </c>
      <c r="B134" s="30" t="s">
        <v>157</v>
      </c>
      <c r="C134" s="31">
        <v>45824</v>
      </c>
      <c r="D134" s="45">
        <f t="shared" si="2"/>
        <v>2.5</v>
      </c>
      <c r="E134" s="45"/>
      <c r="F134" s="45">
        <v>1</v>
      </c>
      <c r="G134" s="45"/>
      <c r="H134" s="45">
        <v>1</v>
      </c>
      <c r="I134" s="45"/>
      <c r="J134" s="45">
        <v>0.5</v>
      </c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8"/>
      <c r="AC134" s="31">
        <v>45824</v>
      </c>
    </row>
    <row r="135" ht="60" spans="1:29">
      <c r="A135" s="48">
        <v>133</v>
      </c>
      <c r="B135" s="30" t="s">
        <v>158</v>
      </c>
      <c r="C135" s="31">
        <v>45824</v>
      </c>
      <c r="D135" s="45">
        <f t="shared" si="2"/>
        <v>5</v>
      </c>
      <c r="E135" s="45"/>
      <c r="F135" s="45">
        <v>2</v>
      </c>
      <c r="G135" s="45"/>
      <c r="H135" s="45">
        <v>2</v>
      </c>
      <c r="I135" s="45"/>
      <c r="J135" s="45">
        <v>1</v>
      </c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8"/>
      <c r="AC135" s="31">
        <v>45824</v>
      </c>
    </row>
    <row r="136" ht="60" spans="1:29">
      <c r="A136" s="48">
        <v>134</v>
      </c>
      <c r="B136" s="30" t="s">
        <v>159</v>
      </c>
      <c r="C136" s="31">
        <v>45824</v>
      </c>
      <c r="D136" s="45">
        <f t="shared" si="2"/>
        <v>3</v>
      </c>
      <c r="E136" s="45"/>
      <c r="F136" s="45">
        <v>1</v>
      </c>
      <c r="G136" s="45"/>
      <c r="H136" s="45">
        <v>1</v>
      </c>
      <c r="I136" s="45"/>
      <c r="J136" s="45">
        <v>0.5</v>
      </c>
      <c r="K136" s="45"/>
      <c r="L136" s="45">
        <v>0.5</v>
      </c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8"/>
      <c r="AC136" s="31">
        <v>45824</v>
      </c>
    </row>
    <row r="137" ht="45" spans="1:29">
      <c r="A137" s="48">
        <v>136</v>
      </c>
      <c r="B137" s="30" t="s">
        <v>160</v>
      </c>
      <c r="C137" s="31">
        <v>45824</v>
      </c>
      <c r="D137" s="45">
        <f t="shared" ref="D137:D172" si="3">SUM(E137:AB137)</f>
        <v>9</v>
      </c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>
        <v>3</v>
      </c>
      <c r="AB137" s="48">
        <v>6</v>
      </c>
      <c r="AC137" s="31">
        <v>45824</v>
      </c>
    </row>
    <row r="138" ht="45" spans="1:29">
      <c r="A138" s="48">
        <v>137</v>
      </c>
      <c r="B138" s="30" t="s">
        <v>161</v>
      </c>
      <c r="C138" s="31">
        <v>45824</v>
      </c>
      <c r="D138" s="45">
        <f t="shared" si="3"/>
        <v>5</v>
      </c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>
        <v>5</v>
      </c>
      <c r="AB138" s="48"/>
      <c r="AC138" s="31">
        <v>45824</v>
      </c>
    </row>
    <row r="139" ht="60" spans="1:29">
      <c r="A139" s="48">
        <v>138</v>
      </c>
      <c r="B139" s="30" t="s">
        <v>162</v>
      </c>
      <c r="C139" s="31">
        <v>45824</v>
      </c>
      <c r="D139" s="45">
        <f t="shared" si="3"/>
        <v>1.4</v>
      </c>
      <c r="E139" s="45"/>
      <c r="F139" s="45">
        <v>1</v>
      </c>
      <c r="G139" s="45"/>
      <c r="H139" s="45"/>
      <c r="I139" s="45"/>
      <c r="J139" s="45">
        <v>0.4</v>
      </c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1">
        <v>45824</v>
      </c>
    </row>
    <row r="140" ht="45" spans="1:29">
      <c r="A140" s="48">
        <v>139</v>
      </c>
      <c r="B140" s="30" t="s">
        <v>163</v>
      </c>
      <c r="C140" s="31">
        <v>45824</v>
      </c>
      <c r="D140" s="45">
        <f t="shared" si="3"/>
        <v>2</v>
      </c>
      <c r="E140" s="45"/>
      <c r="F140" s="45"/>
      <c r="G140" s="45"/>
      <c r="H140" s="45"/>
      <c r="I140" s="45"/>
      <c r="J140" s="45"/>
      <c r="K140" s="45"/>
      <c r="L140" s="45">
        <v>1</v>
      </c>
      <c r="M140" s="45"/>
      <c r="N140" s="45">
        <v>1</v>
      </c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1">
        <v>45824</v>
      </c>
    </row>
    <row r="141" ht="60" spans="1:29">
      <c r="A141" s="48">
        <v>140</v>
      </c>
      <c r="B141" s="30" t="s">
        <v>164</v>
      </c>
      <c r="C141" s="31">
        <v>45824</v>
      </c>
      <c r="D141" s="45">
        <f t="shared" si="3"/>
        <v>1.5</v>
      </c>
      <c r="E141" s="45"/>
      <c r="F141" s="45">
        <v>0.5</v>
      </c>
      <c r="G141" s="45"/>
      <c r="H141" s="45">
        <v>0.5</v>
      </c>
      <c r="I141" s="45"/>
      <c r="J141" s="45">
        <v>0.5</v>
      </c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1">
        <v>45824</v>
      </c>
    </row>
    <row r="142" ht="45" spans="1:29">
      <c r="A142" s="48">
        <v>141</v>
      </c>
      <c r="B142" s="30" t="s">
        <v>165</v>
      </c>
      <c r="C142" s="31">
        <v>45824</v>
      </c>
      <c r="D142" s="45">
        <f t="shared" si="3"/>
        <v>5</v>
      </c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>
        <v>3</v>
      </c>
      <c r="AB142" s="45">
        <v>2</v>
      </c>
      <c r="AC142" s="31">
        <v>45824</v>
      </c>
    </row>
    <row r="143" ht="45" spans="1:29">
      <c r="A143" s="48">
        <v>142</v>
      </c>
      <c r="B143" s="30" t="s">
        <v>166</v>
      </c>
      <c r="C143" s="31">
        <v>45824</v>
      </c>
      <c r="D143" s="45">
        <f t="shared" si="3"/>
        <v>8</v>
      </c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>
        <v>5</v>
      </c>
      <c r="AB143" s="45">
        <v>3</v>
      </c>
      <c r="AC143" s="31">
        <v>45824</v>
      </c>
    </row>
    <row r="144" ht="45" spans="1:29">
      <c r="A144" s="48">
        <v>143</v>
      </c>
      <c r="B144" s="30" t="s">
        <v>167</v>
      </c>
      <c r="C144" s="31">
        <v>45824</v>
      </c>
      <c r="D144" s="45">
        <f t="shared" si="3"/>
        <v>8</v>
      </c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>
        <v>5</v>
      </c>
      <c r="AB144" s="45">
        <v>3</v>
      </c>
      <c r="AC144" s="31">
        <v>45824</v>
      </c>
    </row>
    <row r="145" ht="45" spans="1:29">
      <c r="A145" s="48">
        <v>144</v>
      </c>
      <c r="B145" s="30" t="s">
        <v>168</v>
      </c>
      <c r="C145" s="31">
        <v>45824</v>
      </c>
      <c r="D145" s="45">
        <f t="shared" si="3"/>
        <v>3</v>
      </c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>
        <v>3</v>
      </c>
      <c r="AB145" s="45"/>
      <c r="AC145" s="31">
        <v>45824</v>
      </c>
    </row>
    <row r="146" ht="45" spans="1:29">
      <c r="A146" s="48">
        <v>145</v>
      </c>
      <c r="B146" s="30" t="s">
        <v>169</v>
      </c>
      <c r="C146" s="31">
        <v>45824</v>
      </c>
      <c r="D146" s="45">
        <f t="shared" si="3"/>
        <v>5</v>
      </c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>
        <v>3</v>
      </c>
      <c r="AB146" s="45">
        <v>2</v>
      </c>
      <c r="AC146" s="31">
        <v>45824</v>
      </c>
    </row>
    <row r="147" ht="45" spans="1:29">
      <c r="A147" s="48">
        <v>146</v>
      </c>
      <c r="B147" s="30" t="s">
        <v>170</v>
      </c>
      <c r="C147" s="31">
        <v>45824</v>
      </c>
      <c r="D147" s="45">
        <f t="shared" si="3"/>
        <v>3</v>
      </c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>
        <v>3</v>
      </c>
      <c r="AB147" s="45"/>
      <c r="AC147" s="31">
        <v>45824</v>
      </c>
    </row>
    <row r="148" ht="75" spans="1:29">
      <c r="A148" s="48">
        <v>147</v>
      </c>
      <c r="B148" s="30" t="s">
        <v>171</v>
      </c>
      <c r="C148" s="31">
        <v>45824</v>
      </c>
      <c r="D148" s="45">
        <f t="shared" si="3"/>
        <v>1.5</v>
      </c>
      <c r="E148" s="45"/>
      <c r="F148" s="45">
        <v>1</v>
      </c>
      <c r="G148" s="45"/>
      <c r="H148" s="45"/>
      <c r="I148" s="45"/>
      <c r="J148" s="45">
        <v>0.5</v>
      </c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1">
        <v>45824</v>
      </c>
    </row>
    <row r="149" ht="45" spans="1:29">
      <c r="A149" s="48">
        <v>148</v>
      </c>
      <c r="B149" s="30" t="s">
        <v>172</v>
      </c>
      <c r="C149" s="31">
        <v>45824</v>
      </c>
      <c r="D149" s="45">
        <f t="shared" si="3"/>
        <v>6</v>
      </c>
      <c r="E149" s="45"/>
      <c r="F149" s="45"/>
      <c r="G149" s="45">
        <v>2</v>
      </c>
      <c r="H149" s="45">
        <v>2</v>
      </c>
      <c r="I149" s="45"/>
      <c r="J149" s="45"/>
      <c r="K149" s="45"/>
      <c r="L149" s="45"/>
      <c r="M149" s="45">
        <v>2</v>
      </c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1">
        <v>45824</v>
      </c>
    </row>
    <row r="150" ht="45" spans="1:29">
      <c r="A150" s="48">
        <v>149</v>
      </c>
      <c r="B150" s="30" t="s">
        <v>173</v>
      </c>
      <c r="C150" s="31">
        <v>45824</v>
      </c>
      <c r="D150" s="45">
        <f t="shared" si="3"/>
        <v>5</v>
      </c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>
        <v>3</v>
      </c>
      <c r="AB150" s="45">
        <v>2</v>
      </c>
      <c r="AC150" s="31">
        <v>45824</v>
      </c>
    </row>
    <row r="151" ht="45" spans="1:29">
      <c r="A151" s="48">
        <v>150</v>
      </c>
      <c r="B151" s="30" t="s">
        <v>174</v>
      </c>
      <c r="C151" s="31">
        <v>45824</v>
      </c>
      <c r="D151" s="45">
        <f t="shared" si="3"/>
        <v>5</v>
      </c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>
        <v>3</v>
      </c>
      <c r="AB151" s="45">
        <v>2</v>
      </c>
      <c r="AC151" s="31">
        <v>45824</v>
      </c>
    </row>
    <row r="152" ht="45" spans="1:29">
      <c r="A152" s="48">
        <v>151</v>
      </c>
      <c r="B152" s="30" t="s">
        <v>175</v>
      </c>
      <c r="C152" s="31">
        <v>45824</v>
      </c>
      <c r="D152" s="45">
        <f t="shared" si="3"/>
        <v>5</v>
      </c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>
        <v>3</v>
      </c>
      <c r="AB152" s="45">
        <v>2</v>
      </c>
      <c r="AC152" s="31">
        <v>45824</v>
      </c>
    </row>
    <row r="153" ht="45" spans="1:29">
      <c r="A153" s="48">
        <v>152</v>
      </c>
      <c r="B153" s="30" t="s">
        <v>176</v>
      </c>
      <c r="C153" s="31">
        <v>45824</v>
      </c>
      <c r="D153" s="45">
        <f t="shared" si="3"/>
        <v>5</v>
      </c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>
        <v>3</v>
      </c>
      <c r="AB153" s="45">
        <v>2</v>
      </c>
      <c r="AC153" s="31">
        <v>45824</v>
      </c>
    </row>
    <row r="154" ht="45" spans="1:29">
      <c r="A154" s="48">
        <v>153</v>
      </c>
      <c r="B154" s="30" t="s">
        <v>177</v>
      </c>
      <c r="C154" s="31">
        <v>45824</v>
      </c>
      <c r="D154" s="45">
        <f t="shared" si="3"/>
        <v>3</v>
      </c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>
        <v>3</v>
      </c>
      <c r="AB154" s="45"/>
      <c r="AC154" s="31">
        <v>45824</v>
      </c>
    </row>
    <row r="155" ht="60" spans="1:29">
      <c r="A155" s="48">
        <v>154</v>
      </c>
      <c r="B155" s="30" t="s">
        <v>178</v>
      </c>
      <c r="C155" s="31">
        <v>45824</v>
      </c>
      <c r="D155" s="45">
        <f t="shared" si="3"/>
        <v>3</v>
      </c>
      <c r="E155" s="45"/>
      <c r="F155" s="45">
        <v>1.5</v>
      </c>
      <c r="G155" s="45"/>
      <c r="H155" s="45"/>
      <c r="I155" s="45"/>
      <c r="J155" s="45">
        <v>0.5</v>
      </c>
      <c r="K155" s="45"/>
      <c r="L155" s="45"/>
      <c r="M155" s="45">
        <v>1</v>
      </c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31">
        <v>45824</v>
      </c>
    </row>
    <row r="156" ht="75" spans="1:29">
      <c r="A156" s="48">
        <v>155</v>
      </c>
      <c r="B156" s="30" t="s">
        <v>179</v>
      </c>
      <c r="C156" s="31">
        <v>45824</v>
      </c>
      <c r="D156" s="45">
        <f t="shared" si="3"/>
        <v>3.5</v>
      </c>
      <c r="E156" s="45"/>
      <c r="F156" s="45">
        <v>1</v>
      </c>
      <c r="G156" s="45"/>
      <c r="H156" s="45">
        <v>1</v>
      </c>
      <c r="I156" s="45"/>
      <c r="J156" s="45">
        <v>0.5</v>
      </c>
      <c r="K156" s="45"/>
      <c r="L156" s="45"/>
      <c r="M156" s="45">
        <v>1</v>
      </c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31">
        <v>45824</v>
      </c>
    </row>
    <row r="157" customFormat="1" ht="60" spans="1:29">
      <c r="A157" s="48">
        <v>156</v>
      </c>
      <c r="B157" s="30" t="s">
        <v>180</v>
      </c>
      <c r="C157" s="31">
        <v>45824</v>
      </c>
      <c r="D157" s="45">
        <f t="shared" si="3"/>
        <v>2</v>
      </c>
      <c r="E157" s="45"/>
      <c r="F157" s="45">
        <v>1</v>
      </c>
      <c r="G157" s="45"/>
      <c r="H157" s="45"/>
      <c r="I157" s="45"/>
      <c r="J157" s="45">
        <v>0.5</v>
      </c>
      <c r="K157" s="45"/>
      <c r="L157" s="45"/>
      <c r="M157" s="45">
        <v>0.5</v>
      </c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31">
        <v>45824</v>
      </c>
    </row>
    <row r="158" customFormat="1" ht="45" spans="1:29">
      <c r="A158" s="48">
        <v>157</v>
      </c>
      <c r="B158" s="30" t="s">
        <v>181</v>
      </c>
      <c r="C158" s="31">
        <v>45824</v>
      </c>
      <c r="D158" s="45">
        <f t="shared" si="3"/>
        <v>5</v>
      </c>
      <c r="E158" s="45"/>
      <c r="F158" s="45"/>
      <c r="G158" s="45">
        <v>4</v>
      </c>
      <c r="H158" s="45"/>
      <c r="I158" s="45"/>
      <c r="J158" s="45"/>
      <c r="K158" s="45"/>
      <c r="L158" s="45"/>
      <c r="M158" s="45">
        <v>1</v>
      </c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31">
        <v>45824</v>
      </c>
    </row>
    <row r="159" customFormat="1" ht="45" spans="1:29">
      <c r="A159" s="48">
        <v>158</v>
      </c>
      <c r="B159" s="30" t="s">
        <v>182</v>
      </c>
      <c r="C159" s="31">
        <v>45824</v>
      </c>
      <c r="D159" s="45">
        <f t="shared" si="3"/>
        <v>3</v>
      </c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>
        <v>3</v>
      </c>
      <c r="AB159" s="45"/>
      <c r="AC159" s="31">
        <v>45824</v>
      </c>
    </row>
    <row r="160" customFormat="1" ht="45" spans="1:29">
      <c r="A160" s="48">
        <v>159</v>
      </c>
      <c r="B160" s="30" t="s">
        <v>183</v>
      </c>
      <c r="C160" s="31">
        <v>45824</v>
      </c>
      <c r="D160" s="45">
        <f t="shared" si="3"/>
        <v>5</v>
      </c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>
        <v>3</v>
      </c>
      <c r="AB160" s="45">
        <v>2</v>
      </c>
      <c r="AC160" s="31">
        <v>45824</v>
      </c>
    </row>
    <row r="161" customFormat="1" ht="60" spans="1:29">
      <c r="A161" s="48">
        <v>160</v>
      </c>
      <c r="B161" s="30" t="s">
        <v>184</v>
      </c>
      <c r="C161" s="31">
        <v>45824</v>
      </c>
      <c r="D161" s="45">
        <f t="shared" si="3"/>
        <v>2</v>
      </c>
      <c r="E161" s="45"/>
      <c r="F161" s="45">
        <v>2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31">
        <v>45824</v>
      </c>
    </row>
    <row r="162" customFormat="1" ht="60" spans="1:29">
      <c r="A162" s="48">
        <v>161</v>
      </c>
      <c r="B162" s="30" t="s">
        <v>185</v>
      </c>
      <c r="C162" s="31">
        <v>45824</v>
      </c>
      <c r="D162" s="45">
        <f t="shared" si="3"/>
        <v>3</v>
      </c>
      <c r="E162" s="45"/>
      <c r="F162" s="45">
        <v>2</v>
      </c>
      <c r="G162" s="45"/>
      <c r="H162" s="45"/>
      <c r="I162" s="45"/>
      <c r="J162" s="45">
        <v>0.5</v>
      </c>
      <c r="K162" s="45"/>
      <c r="L162" s="45"/>
      <c r="M162" s="45">
        <v>0.5</v>
      </c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31">
        <v>45824</v>
      </c>
    </row>
    <row r="163" customFormat="1" ht="45" spans="1:29">
      <c r="A163" s="48">
        <v>162</v>
      </c>
      <c r="B163" s="30" t="s">
        <v>186</v>
      </c>
      <c r="C163" s="31">
        <v>45824</v>
      </c>
      <c r="D163" s="45">
        <f t="shared" si="3"/>
        <v>2</v>
      </c>
      <c r="E163" s="45"/>
      <c r="F163" s="45">
        <v>2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31">
        <v>45824</v>
      </c>
    </row>
    <row r="164" customFormat="1" ht="60" spans="1:29">
      <c r="A164" s="48">
        <v>163</v>
      </c>
      <c r="B164" s="30" t="s">
        <v>187</v>
      </c>
      <c r="C164" s="31">
        <v>45824</v>
      </c>
      <c r="D164" s="45">
        <f t="shared" si="3"/>
        <v>4</v>
      </c>
      <c r="E164" s="45"/>
      <c r="F164" s="45">
        <v>2</v>
      </c>
      <c r="G164" s="45"/>
      <c r="H164" s="45">
        <v>1</v>
      </c>
      <c r="I164" s="45"/>
      <c r="J164" s="45">
        <v>0.5</v>
      </c>
      <c r="K164" s="45"/>
      <c r="L164" s="45"/>
      <c r="M164" s="45">
        <v>0.5</v>
      </c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31">
        <v>45824</v>
      </c>
    </row>
    <row r="165" customFormat="1" ht="60" spans="1:29">
      <c r="A165" s="48">
        <v>164</v>
      </c>
      <c r="B165" s="30" t="s">
        <v>188</v>
      </c>
      <c r="C165" s="31">
        <v>45824</v>
      </c>
      <c r="D165" s="45">
        <f t="shared" si="3"/>
        <v>4</v>
      </c>
      <c r="E165" s="45"/>
      <c r="F165" s="45">
        <v>2</v>
      </c>
      <c r="G165" s="45"/>
      <c r="H165" s="45">
        <v>1</v>
      </c>
      <c r="I165" s="45"/>
      <c r="J165" s="45">
        <v>0.5</v>
      </c>
      <c r="K165" s="45"/>
      <c r="L165" s="45"/>
      <c r="M165" s="45">
        <v>0.5</v>
      </c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31">
        <v>45824</v>
      </c>
    </row>
    <row r="166" customFormat="1" ht="60" spans="1:29">
      <c r="A166" s="48">
        <v>165</v>
      </c>
      <c r="B166" s="30" t="s">
        <v>189</v>
      </c>
      <c r="C166" s="31">
        <v>45824</v>
      </c>
      <c r="D166" s="45">
        <f t="shared" si="3"/>
        <v>2</v>
      </c>
      <c r="E166" s="45"/>
      <c r="F166" s="45">
        <v>1</v>
      </c>
      <c r="G166" s="45"/>
      <c r="H166" s="45"/>
      <c r="I166" s="45"/>
      <c r="J166" s="45">
        <v>0.5</v>
      </c>
      <c r="K166" s="45"/>
      <c r="L166" s="45"/>
      <c r="M166" s="45">
        <v>0.5</v>
      </c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31">
        <v>45824</v>
      </c>
    </row>
    <row r="167" customFormat="1" ht="60" spans="1:29">
      <c r="A167" s="48">
        <v>166</v>
      </c>
      <c r="B167" s="30" t="s">
        <v>190</v>
      </c>
      <c r="C167" s="31">
        <v>45824</v>
      </c>
      <c r="D167" s="45">
        <f t="shared" si="3"/>
        <v>2</v>
      </c>
      <c r="E167" s="45"/>
      <c r="F167" s="45">
        <v>1</v>
      </c>
      <c r="G167" s="45"/>
      <c r="H167" s="45"/>
      <c r="I167" s="45"/>
      <c r="J167" s="45">
        <v>0.5</v>
      </c>
      <c r="K167" s="45"/>
      <c r="L167" s="45"/>
      <c r="M167" s="45">
        <v>0.5</v>
      </c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31">
        <v>45824</v>
      </c>
    </row>
    <row r="168" customFormat="1" ht="60" spans="1:29">
      <c r="A168" s="48">
        <v>167</v>
      </c>
      <c r="B168" s="30" t="s">
        <v>191</v>
      </c>
      <c r="C168" s="31">
        <v>45824</v>
      </c>
      <c r="D168" s="45">
        <f t="shared" si="3"/>
        <v>2.5</v>
      </c>
      <c r="E168" s="45"/>
      <c r="F168" s="45">
        <v>1.5</v>
      </c>
      <c r="G168" s="45"/>
      <c r="H168" s="45"/>
      <c r="I168" s="45"/>
      <c r="J168" s="45">
        <v>0.5</v>
      </c>
      <c r="K168" s="45"/>
      <c r="L168" s="45"/>
      <c r="M168" s="45">
        <v>0.5</v>
      </c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31">
        <v>45824</v>
      </c>
    </row>
    <row r="169" customFormat="1" ht="75" spans="1:29">
      <c r="A169" s="48">
        <v>168</v>
      </c>
      <c r="B169" s="30" t="s">
        <v>192</v>
      </c>
      <c r="C169" s="31">
        <v>45824</v>
      </c>
      <c r="D169" s="45">
        <f t="shared" si="3"/>
        <v>3</v>
      </c>
      <c r="E169" s="45"/>
      <c r="F169" s="45">
        <v>2</v>
      </c>
      <c r="G169" s="45"/>
      <c r="H169" s="45"/>
      <c r="I169" s="45"/>
      <c r="J169" s="45">
        <v>0.5</v>
      </c>
      <c r="K169" s="45"/>
      <c r="L169" s="45"/>
      <c r="M169" s="45">
        <v>0.5</v>
      </c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31">
        <v>45824</v>
      </c>
    </row>
    <row r="170" customFormat="1" ht="45" spans="1:29">
      <c r="A170" s="48">
        <v>169</v>
      </c>
      <c r="B170" s="30" t="s">
        <v>193</v>
      </c>
      <c r="C170" s="31">
        <v>45824</v>
      </c>
      <c r="D170" s="45">
        <f t="shared" si="3"/>
        <v>5</v>
      </c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>
        <v>3</v>
      </c>
      <c r="AB170" s="45">
        <v>2</v>
      </c>
      <c r="AC170" s="31">
        <v>45824</v>
      </c>
    </row>
    <row r="171" customFormat="1" ht="45" spans="1:29">
      <c r="A171" s="48">
        <v>170</v>
      </c>
      <c r="B171" s="30" t="s">
        <v>194</v>
      </c>
      <c r="C171" s="31">
        <v>45824</v>
      </c>
      <c r="D171" s="45">
        <f t="shared" si="3"/>
        <v>5</v>
      </c>
      <c r="E171" s="45"/>
      <c r="F171" s="45"/>
      <c r="G171" s="45">
        <v>5</v>
      </c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31">
        <v>45824</v>
      </c>
    </row>
    <row r="172" customFormat="1" ht="45" spans="1:29">
      <c r="A172" s="48"/>
      <c r="B172" s="30" t="s">
        <v>195</v>
      </c>
      <c r="C172" s="31">
        <v>45952</v>
      </c>
      <c r="D172" s="45">
        <f t="shared" si="3"/>
        <v>5</v>
      </c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>
        <v>3</v>
      </c>
      <c r="AB172" s="45">
        <v>2</v>
      </c>
      <c r="AC172" s="31">
        <v>45952</v>
      </c>
    </row>
    <row r="173" customFormat="1" ht="60" spans="1:29">
      <c r="A173" s="48">
        <v>171</v>
      </c>
      <c r="B173" s="61" t="s">
        <v>196</v>
      </c>
      <c r="C173" s="62">
        <v>45747</v>
      </c>
      <c r="D173" s="45">
        <v>6</v>
      </c>
      <c r="E173" s="45">
        <v>2.5</v>
      </c>
      <c r="F173" s="45"/>
      <c r="G173" s="45">
        <v>0.5</v>
      </c>
      <c r="H173" s="45"/>
      <c r="I173" s="45"/>
      <c r="J173" s="45"/>
      <c r="K173" s="45"/>
      <c r="L173" s="45"/>
      <c r="M173" s="45"/>
      <c r="N173" s="45"/>
      <c r="O173" s="45"/>
      <c r="P173" s="45">
        <v>1</v>
      </c>
      <c r="Q173" s="45"/>
      <c r="R173" s="45"/>
      <c r="S173" s="45"/>
      <c r="T173" s="45">
        <v>2</v>
      </c>
      <c r="U173" s="45"/>
      <c r="V173" s="45"/>
      <c r="W173" s="45"/>
      <c r="X173" s="45"/>
      <c r="Y173" s="45"/>
      <c r="Z173" s="45"/>
      <c r="AA173" s="45"/>
      <c r="AB173" s="45"/>
      <c r="AC173" s="62">
        <v>45747</v>
      </c>
    </row>
    <row r="174" spans="1:29">
      <c r="A174" s="48"/>
      <c r="B174" s="30" t="s">
        <v>197</v>
      </c>
      <c r="C174" s="30"/>
      <c r="D174" s="45">
        <f>SUM(D4:D173)</f>
        <v>1055.15</v>
      </c>
      <c r="E174" s="45">
        <f t="shared" ref="D174:AB174" si="4">SUM(E4:E171)</f>
        <v>37.3</v>
      </c>
      <c r="F174" s="45">
        <f t="shared" si="4"/>
        <v>128.8</v>
      </c>
      <c r="G174" s="45">
        <f t="shared" si="4"/>
        <v>74</v>
      </c>
      <c r="H174" s="45">
        <f t="shared" si="4"/>
        <v>116.4</v>
      </c>
      <c r="I174" s="45">
        <f t="shared" si="4"/>
        <v>0</v>
      </c>
      <c r="J174" s="45">
        <f t="shared" si="4"/>
        <v>104.3</v>
      </c>
      <c r="K174" s="45">
        <f t="shared" si="4"/>
        <v>0</v>
      </c>
      <c r="L174" s="45">
        <f t="shared" si="4"/>
        <v>72.2</v>
      </c>
      <c r="M174" s="45">
        <f t="shared" si="4"/>
        <v>55</v>
      </c>
      <c r="N174" s="45">
        <f t="shared" si="4"/>
        <v>167.9</v>
      </c>
      <c r="O174" s="45">
        <f t="shared" si="4"/>
        <v>15.5</v>
      </c>
      <c r="P174" s="45">
        <f t="shared" si="4"/>
        <v>0</v>
      </c>
      <c r="Q174" s="45">
        <f t="shared" si="4"/>
        <v>46</v>
      </c>
      <c r="R174" s="45">
        <f t="shared" si="4"/>
        <v>0</v>
      </c>
      <c r="S174" s="45">
        <f t="shared" si="4"/>
        <v>3</v>
      </c>
      <c r="T174" s="45">
        <f t="shared" si="4"/>
        <v>0</v>
      </c>
      <c r="U174" s="45">
        <f t="shared" si="4"/>
        <v>57</v>
      </c>
      <c r="V174" s="45">
        <f t="shared" si="4"/>
        <v>0</v>
      </c>
      <c r="W174" s="45">
        <f t="shared" si="4"/>
        <v>16.25</v>
      </c>
      <c r="X174" s="45">
        <f t="shared" si="4"/>
        <v>0</v>
      </c>
      <c r="Y174" s="45">
        <f t="shared" si="4"/>
        <v>0</v>
      </c>
      <c r="Z174" s="45">
        <f t="shared" si="4"/>
        <v>0</v>
      </c>
      <c r="AA174" s="45">
        <f t="shared" si="4"/>
        <v>96</v>
      </c>
      <c r="AB174" s="45">
        <f t="shared" si="4"/>
        <v>54.5</v>
      </c>
    </row>
    <row r="175" ht="80" customHeight="1" spans="1:29">
      <c r="A175" s="45" t="s">
        <v>198</v>
      </c>
      <c r="B175" s="45"/>
      <c r="C175" s="63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5"/>
    </row>
    <row r="176" ht="80" customHeight="1" spans="1:29">
      <c r="A176" s="45" t="s">
        <v>199</v>
      </c>
      <c r="B176" s="45"/>
      <c r="C176" s="63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6"/>
    </row>
    <row r="177" ht="80" customHeight="1" spans="1:28">
      <c r="A177" s="45" t="s">
        <v>200</v>
      </c>
      <c r="B177" s="45"/>
      <c r="C177" s="63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6"/>
    </row>
    <row r="178" ht="80" customHeight="1" spans="1:28">
      <c r="A178" s="45" t="s">
        <v>201</v>
      </c>
      <c r="B178" s="45"/>
      <c r="C178" s="63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6"/>
    </row>
    <row r="179" ht="80" customHeight="1" spans="1:28">
      <c r="A179" s="45" t="s">
        <v>202</v>
      </c>
      <c r="B179" s="45"/>
      <c r="C179" s="63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6"/>
    </row>
  </sheetData>
  <autoFilter xmlns:etc="http://www.wps.cn/officeDocument/2017/etCustomData" ref="A3:AC179" etc:filterBottomFollowUsedRange="0">
    <extLst/>
  </autoFilter>
  <mergeCells count="12">
    <mergeCell ref="A1:AB1"/>
    <mergeCell ref="O2:Y2"/>
    <mergeCell ref="A175:B175"/>
    <mergeCell ref="D175:AB175"/>
    <mergeCell ref="A176:B176"/>
    <mergeCell ref="D176:AB176"/>
    <mergeCell ref="A177:B177"/>
    <mergeCell ref="D177:AB177"/>
    <mergeCell ref="A178:B178"/>
    <mergeCell ref="D178:AB178"/>
    <mergeCell ref="A179:B179"/>
    <mergeCell ref="D179:AB179"/>
  </mergeCells>
  <pageMargins left="0.750694444444444" right="0.750694444444444" top="1" bottom="1" header="0.511111111111111" footer="0.511111111111111"/>
  <pageSetup paperSize="9" scale="45" orientation="landscape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AD125"/>
  <sheetViews>
    <sheetView workbookViewId="0">
      <pane xSplit="4" ySplit="3" topLeftCell="E7" activePane="bottomRight" state="frozen"/>
      <selection/>
      <selection pane="topRight"/>
      <selection pane="bottomLeft"/>
      <selection pane="bottomRight" activeCell="F11" sqref="F11"/>
    </sheetView>
  </sheetViews>
  <sheetFormatPr defaultColWidth="10" defaultRowHeight="15"/>
  <cols>
    <col min="1" max="1" width="10" style="1"/>
    <col min="2" max="2" width="20.7818181818182" style="2" customWidth="1"/>
    <col min="3" max="3" width="26.1090909090909" style="1" customWidth="1"/>
    <col min="4" max="4" width="10" style="2"/>
    <col min="5" max="5" width="11.5454545454545" style="1" customWidth="1"/>
    <col min="6" max="29" width="10" style="1"/>
    <col min="30" max="30" width="15.0909090909091" style="1"/>
    <col min="31" max="16384" width="10" style="1"/>
  </cols>
  <sheetData>
    <row r="1" s="1" customFormat="1" ht="23" spans="1:30">
      <c r="A1" s="3" t="s">
        <v>203</v>
      </c>
      <c r="B1" s="4"/>
      <c r="C1" s="5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="1" customFormat="1" spans="1:30">
      <c r="A2" s="7"/>
      <c r="B2" s="8"/>
      <c r="C2" s="7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1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7"/>
    </row>
    <row r="3" s="1" customFormat="1" ht="39" spans="1:30">
      <c r="A3" s="11" t="s">
        <v>204</v>
      </c>
      <c r="B3" s="12" t="s">
        <v>205</v>
      </c>
      <c r="C3" s="13" t="s">
        <v>206</v>
      </c>
      <c r="D3" s="14" t="s">
        <v>207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2" t="s">
        <v>13</v>
      </c>
      <c r="Q3" s="12" t="s">
        <v>14</v>
      </c>
      <c r="R3" s="12" t="s">
        <v>15</v>
      </c>
      <c r="S3" s="12" t="s">
        <v>16</v>
      </c>
      <c r="T3" s="12" t="s">
        <v>17</v>
      </c>
      <c r="U3" s="12" t="s">
        <v>18</v>
      </c>
      <c r="V3" s="12" t="s">
        <v>19</v>
      </c>
      <c r="W3" s="12" t="s">
        <v>20</v>
      </c>
      <c r="X3" s="12" t="s">
        <v>21</v>
      </c>
      <c r="Y3" s="12" t="s">
        <v>22</v>
      </c>
      <c r="Z3" s="12" t="s">
        <v>23</v>
      </c>
      <c r="AA3" s="12" t="s">
        <v>24</v>
      </c>
      <c r="AB3" s="12" t="s">
        <v>25</v>
      </c>
      <c r="AC3" s="12" t="s">
        <v>26</v>
      </c>
    </row>
    <row r="4" s="1" customFormat="1" ht="42" spans="1:30">
      <c r="A4" s="15">
        <v>1</v>
      </c>
      <c r="B4" s="16" t="s">
        <v>208</v>
      </c>
      <c r="C4" s="17">
        <f>E4+E5</f>
        <v>20</v>
      </c>
      <c r="D4" s="18" t="s">
        <v>208</v>
      </c>
      <c r="E4" s="19">
        <f t="shared" ref="E4:E67" si="0">SUM(F4:AC4)</f>
        <v>15</v>
      </c>
      <c r="F4" s="19"/>
      <c r="G4" s="19"/>
      <c r="H4" s="19"/>
      <c r="I4" s="19">
        <v>2</v>
      </c>
      <c r="J4" s="19"/>
      <c r="K4" s="19"/>
      <c r="L4" s="19"/>
      <c r="M4" s="19">
        <v>7.5</v>
      </c>
      <c r="N4" s="19"/>
      <c r="O4" s="19">
        <v>5.5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>
        <v>45824</v>
      </c>
    </row>
    <row r="5" s="1" customFormat="1" ht="42" spans="1:30">
      <c r="A5" s="21"/>
      <c r="B5" s="22"/>
      <c r="C5" s="23"/>
      <c r="D5" s="18" t="s">
        <v>209</v>
      </c>
      <c r="E5" s="19">
        <f t="shared" si="0"/>
        <v>5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>
        <v>3</v>
      </c>
      <c r="AC5" s="19">
        <v>2</v>
      </c>
      <c r="AD5" s="20">
        <v>45824</v>
      </c>
    </row>
    <row r="6" s="1" customFormat="1" ht="42" spans="1:30">
      <c r="A6" s="15">
        <v>2</v>
      </c>
      <c r="B6" s="16" t="str">
        <f>D6</f>
        <v>东方证券股份有限公司</v>
      </c>
      <c r="C6" s="17">
        <f>E6+E7+E8</f>
        <v>14</v>
      </c>
      <c r="D6" s="18" t="s">
        <v>210</v>
      </c>
      <c r="E6" s="19">
        <f t="shared" si="0"/>
        <v>7</v>
      </c>
      <c r="F6" s="19"/>
      <c r="G6" s="19"/>
      <c r="H6" s="19">
        <v>3</v>
      </c>
      <c r="I6" s="19">
        <v>1</v>
      </c>
      <c r="J6" s="19"/>
      <c r="K6" s="19">
        <v>1</v>
      </c>
      <c r="L6" s="19"/>
      <c r="M6" s="19"/>
      <c r="N6" s="19">
        <v>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20">
        <v>45824</v>
      </c>
    </row>
    <row r="7" s="1" customFormat="1" ht="56" spans="1:30">
      <c r="A7" s="24"/>
      <c r="B7" s="25"/>
      <c r="C7" s="26"/>
      <c r="D7" s="18" t="s">
        <v>211</v>
      </c>
      <c r="E7" s="19">
        <f t="shared" si="0"/>
        <v>5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>
        <v>3</v>
      </c>
      <c r="AC7" s="19">
        <v>2</v>
      </c>
      <c r="AD7" s="20">
        <v>45824</v>
      </c>
    </row>
    <row r="8" s="1" customFormat="1" ht="56" spans="1:30">
      <c r="A8" s="21"/>
      <c r="B8" s="22"/>
      <c r="C8" s="23"/>
      <c r="D8" s="18" t="s">
        <v>212</v>
      </c>
      <c r="E8" s="19">
        <f t="shared" si="0"/>
        <v>2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>
        <v>2</v>
      </c>
      <c r="AC8" s="19"/>
      <c r="AD8" s="20">
        <v>45824</v>
      </c>
    </row>
    <row r="9" s="1" customFormat="1" ht="42" spans="1:30">
      <c r="A9" s="15">
        <v>3</v>
      </c>
      <c r="B9" s="16" t="str">
        <f>D9</f>
        <v>国泰海通证券股份有限公司</v>
      </c>
      <c r="C9" s="17">
        <f>E9+E10+E11+E12+E13</f>
        <v>25</v>
      </c>
      <c r="D9" s="18" t="s">
        <v>213</v>
      </c>
      <c r="E9" s="19">
        <f t="shared" si="0"/>
        <v>2</v>
      </c>
      <c r="F9" s="19"/>
      <c r="G9" s="19"/>
      <c r="H9" s="19"/>
      <c r="I9" s="19"/>
      <c r="J9" s="19"/>
      <c r="K9" s="19">
        <v>2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20">
        <v>45824</v>
      </c>
    </row>
    <row r="10" s="1" customFormat="1" ht="42" spans="1:30">
      <c r="A10" s="24"/>
      <c r="B10" s="25"/>
      <c r="C10" s="26"/>
      <c r="D10" s="18" t="s">
        <v>214</v>
      </c>
      <c r="E10" s="19">
        <f t="shared" si="0"/>
        <v>7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>
        <v>3</v>
      </c>
      <c r="AC10" s="19">
        <v>4</v>
      </c>
      <c r="AD10" s="20">
        <v>45917</v>
      </c>
    </row>
    <row r="11" s="1" customFormat="1" ht="56" spans="1:30">
      <c r="A11" s="24"/>
      <c r="B11" s="25"/>
      <c r="C11" s="26"/>
      <c r="D11" s="18" t="s">
        <v>215</v>
      </c>
      <c r="E11" s="19">
        <f t="shared" si="0"/>
        <v>5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>
        <v>1</v>
      </c>
      <c r="S11" s="19"/>
      <c r="T11" s="19"/>
      <c r="U11" s="19"/>
      <c r="V11" s="19"/>
      <c r="W11" s="19"/>
      <c r="X11" s="19"/>
      <c r="Y11" s="19"/>
      <c r="Z11" s="19"/>
      <c r="AA11" s="19"/>
      <c r="AB11" s="19">
        <v>2</v>
      </c>
      <c r="AC11" s="19">
        <v>2</v>
      </c>
      <c r="AD11" s="20">
        <v>45824</v>
      </c>
    </row>
    <row r="12" s="1" customFormat="1" ht="42" spans="1:30">
      <c r="A12" s="24"/>
      <c r="B12" s="25"/>
      <c r="C12" s="26"/>
      <c r="D12" s="18" t="s">
        <v>216</v>
      </c>
      <c r="E12" s="19">
        <f t="shared" si="0"/>
        <v>3</v>
      </c>
      <c r="F12" s="19"/>
      <c r="G12" s="19"/>
      <c r="H12" s="19">
        <v>3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0">
        <v>45917</v>
      </c>
    </row>
    <row r="13" s="1" customFormat="1" ht="42" spans="1:30">
      <c r="A13" s="21"/>
      <c r="B13" s="22"/>
      <c r="C13" s="23"/>
      <c r="D13" s="18" t="s">
        <v>217</v>
      </c>
      <c r="E13" s="19">
        <f t="shared" si="0"/>
        <v>8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>
        <v>5</v>
      </c>
      <c r="AC13" s="19">
        <v>3</v>
      </c>
      <c r="AD13" s="20">
        <v>45824</v>
      </c>
    </row>
    <row r="14" s="1" customFormat="1" ht="42" spans="1:30">
      <c r="A14" s="15">
        <v>4</v>
      </c>
      <c r="B14" s="16" t="str">
        <f>D14</f>
        <v>国信证券股份有限公司</v>
      </c>
      <c r="C14" s="17">
        <f t="shared" ref="C14:C18" si="1">E14+E15</f>
        <v>12</v>
      </c>
      <c r="D14" s="18" t="s">
        <v>218</v>
      </c>
      <c r="E14" s="19">
        <f t="shared" si="0"/>
        <v>7</v>
      </c>
      <c r="F14" s="19"/>
      <c r="G14" s="19"/>
      <c r="H14" s="19">
        <v>2</v>
      </c>
      <c r="I14" s="19">
        <v>2</v>
      </c>
      <c r="J14" s="19">
        <v>1</v>
      </c>
      <c r="K14" s="19">
        <v>2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0">
        <v>45824</v>
      </c>
    </row>
    <row r="15" s="1" customFormat="1" ht="42" spans="1:30">
      <c r="A15" s="21"/>
      <c r="B15" s="22"/>
      <c r="C15" s="23"/>
      <c r="D15" s="18" t="s">
        <v>219</v>
      </c>
      <c r="E15" s="19">
        <f t="shared" si="0"/>
        <v>5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>
        <v>3</v>
      </c>
      <c r="AC15" s="19">
        <v>2</v>
      </c>
      <c r="AD15" s="20">
        <v>45824</v>
      </c>
    </row>
    <row r="16" s="1" customFormat="1" ht="42" spans="1:30">
      <c r="A16" s="15">
        <v>5</v>
      </c>
      <c r="B16" s="16" t="str">
        <f>D17</f>
        <v>华宝信托有限责任公司</v>
      </c>
      <c r="C16" s="17">
        <f t="shared" si="1"/>
        <v>10</v>
      </c>
      <c r="D16" s="18" t="s">
        <v>220</v>
      </c>
      <c r="E16" s="19">
        <f t="shared" si="0"/>
        <v>5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>
        <v>3</v>
      </c>
      <c r="AC16" s="19">
        <v>2</v>
      </c>
      <c r="AD16" s="20">
        <v>45824</v>
      </c>
    </row>
    <row r="17" s="1" customFormat="1" ht="42" spans="1:30">
      <c r="A17" s="21"/>
      <c r="B17" s="22"/>
      <c r="C17" s="23"/>
      <c r="D17" s="18" t="s">
        <v>221</v>
      </c>
      <c r="E17" s="19">
        <f t="shared" si="0"/>
        <v>5</v>
      </c>
      <c r="F17" s="19"/>
      <c r="G17" s="19"/>
      <c r="H17" s="19">
        <v>3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>
        <v>2</v>
      </c>
      <c r="Y17" s="19"/>
      <c r="Z17" s="19"/>
      <c r="AA17" s="19"/>
      <c r="AB17" s="19"/>
      <c r="AC17" s="19"/>
      <c r="AD17" s="20">
        <v>45824</v>
      </c>
    </row>
    <row r="18" s="1" customFormat="1" ht="42" spans="1:30">
      <c r="A18" s="15">
        <v>6</v>
      </c>
      <c r="B18" s="16" t="str">
        <f>D18</f>
        <v>华福证券有限责任公司</v>
      </c>
      <c r="C18" s="17">
        <f t="shared" si="1"/>
        <v>13</v>
      </c>
      <c r="D18" s="18" t="s">
        <v>222</v>
      </c>
      <c r="E18" s="19">
        <f t="shared" si="0"/>
        <v>8</v>
      </c>
      <c r="F18" s="19"/>
      <c r="G18" s="19"/>
      <c r="H18" s="19">
        <v>5</v>
      </c>
      <c r="I18" s="19">
        <v>1</v>
      </c>
      <c r="J18" s="19"/>
      <c r="K18" s="19"/>
      <c r="L18" s="19"/>
      <c r="M18" s="19"/>
      <c r="N18" s="19">
        <v>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20">
        <v>45824</v>
      </c>
    </row>
    <row r="19" s="1" customFormat="1" ht="42" spans="1:30">
      <c r="A19" s="21"/>
      <c r="B19" s="22"/>
      <c r="C19" s="23"/>
      <c r="D19" s="18" t="s">
        <v>223</v>
      </c>
      <c r="E19" s="19">
        <f t="shared" si="0"/>
        <v>5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>
        <v>3</v>
      </c>
      <c r="AC19" s="19">
        <v>2</v>
      </c>
      <c r="AD19" s="20">
        <v>45824</v>
      </c>
    </row>
    <row r="20" s="1" customFormat="1" ht="42" spans="1:30">
      <c r="A20" s="15">
        <v>7</v>
      </c>
      <c r="B20" s="16" t="str">
        <f>D21</f>
        <v>华泰证券股份有限公司</v>
      </c>
      <c r="C20" s="17">
        <f>E20+E21+E22</f>
        <v>16</v>
      </c>
      <c r="D20" s="18" t="s">
        <v>224</v>
      </c>
      <c r="E20" s="19">
        <f t="shared" si="0"/>
        <v>3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>
        <v>3</v>
      </c>
      <c r="AC20" s="19"/>
      <c r="AD20" s="20">
        <v>45824</v>
      </c>
    </row>
    <row r="21" s="1" customFormat="1" ht="42" spans="1:30">
      <c r="A21" s="24"/>
      <c r="B21" s="25"/>
      <c r="C21" s="26"/>
      <c r="D21" s="18" t="s">
        <v>225</v>
      </c>
      <c r="E21" s="19">
        <f t="shared" si="0"/>
        <v>8</v>
      </c>
      <c r="F21" s="19"/>
      <c r="G21" s="19"/>
      <c r="H21" s="19">
        <v>4</v>
      </c>
      <c r="I21" s="19">
        <v>1</v>
      </c>
      <c r="J21" s="19"/>
      <c r="K21" s="19">
        <v>1</v>
      </c>
      <c r="L21" s="19"/>
      <c r="M21" s="19"/>
      <c r="N21" s="19">
        <v>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20">
        <v>45824</v>
      </c>
    </row>
    <row r="22" s="1" customFormat="1" ht="42" spans="1:30">
      <c r="A22" s="21"/>
      <c r="B22" s="22"/>
      <c r="C22" s="23"/>
      <c r="D22" s="18" t="s">
        <v>226</v>
      </c>
      <c r="E22" s="19">
        <f t="shared" si="0"/>
        <v>5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>
        <v>3</v>
      </c>
      <c r="AC22" s="19">
        <v>2</v>
      </c>
      <c r="AD22" s="20">
        <v>45824</v>
      </c>
    </row>
    <row r="23" s="1" customFormat="1" ht="42" spans="1:30">
      <c r="A23" s="15">
        <v>8</v>
      </c>
      <c r="B23" s="16" t="str">
        <f>D23</f>
        <v>南京银行股份有限公司</v>
      </c>
      <c r="C23" s="17">
        <f>E23+E24+E25+E26</f>
        <v>20</v>
      </c>
      <c r="D23" s="18" t="s">
        <v>227</v>
      </c>
      <c r="E23" s="19">
        <f t="shared" si="0"/>
        <v>12</v>
      </c>
      <c r="F23" s="19"/>
      <c r="G23" s="19"/>
      <c r="H23" s="19"/>
      <c r="I23" s="19"/>
      <c r="J23" s="19"/>
      <c r="K23" s="19"/>
      <c r="L23" s="19"/>
      <c r="M23" s="19">
        <v>3</v>
      </c>
      <c r="N23" s="19">
        <v>2</v>
      </c>
      <c r="O23" s="19">
        <v>2</v>
      </c>
      <c r="P23" s="19"/>
      <c r="Q23" s="19"/>
      <c r="R23" s="19"/>
      <c r="S23" s="19"/>
      <c r="T23" s="19"/>
      <c r="U23" s="19"/>
      <c r="V23" s="19">
        <v>5</v>
      </c>
      <c r="W23" s="19"/>
      <c r="X23" s="19"/>
      <c r="Y23" s="19"/>
      <c r="Z23" s="19"/>
      <c r="AA23" s="19"/>
      <c r="AB23" s="19"/>
      <c r="AC23" s="19"/>
      <c r="AD23" s="20">
        <v>45824</v>
      </c>
    </row>
    <row r="24" s="1" customFormat="1" ht="42" spans="1:30">
      <c r="A24" s="24"/>
      <c r="B24" s="25"/>
      <c r="C24" s="26"/>
      <c r="D24" s="18" t="s">
        <v>228</v>
      </c>
      <c r="E24" s="19">
        <f t="shared" si="0"/>
        <v>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>
        <v>2</v>
      </c>
      <c r="AC24" s="19">
        <v>1</v>
      </c>
      <c r="AD24" s="20">
        <v>45824</v>
      </c>
    </row>
    <row r="25" s="1" customFormat="1" ht="42" spans="1:30">
      <c r="A25" s="24"/>
      <c r="B25" s="25"/>
      <c r="C25" s="26"/>
      <c r="D25" s="18" t="s">
        <v>229</v>
      </c>
      <c r="E25" s="19">
        <f t="shared" si="0"/>
        <v>3</v>
      </c>
      <c r="F25" s="19"/>
      <c r="G25" s="19"/>
      <c r="H25" s="19">
        <v>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0">
        <v>45824</v>
      </c>
    </row>
    <row r="26" s="1" customFormat="1" ht="42" spans="1:30">
      <c r="A26" s="21"/>
      <c r="B26" s="22"/>
      <c r="C26" s="23"/>
      <c r="D26" s="18" t="s">
        <v>230</v>
      </c>
      <c r="E26" s="19">
        <f t="shared" si="0"/>
        <v>2</v>
      </c>
      <c r="F26" s="19"/>
      <c r="G26" s="19"/>
      <c r="H26" s="19">
        <v>2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20">
        <v>45947</v>
      </c>
    </row>
    <row r="27" s="1" customFormat="1" ht="42" spans="1:30">
      <c r="A27" s="15">
        <v>9</v>
      </c>
      <c r="B27" s="16" t="str">
        <f>D27</f>
        <v>申万宏源证券有限公司</v>
      </c>
      <c r="C27" s="17">
        <f>E27+E28+E29</f>
        <v>11</v>
      </c>
      <c r="D27" s="18" t="s">
        <v>231</v>
      </c>
      <c r="E27" s="19">
        <f t="shared" si="0"/>
        <v>7</v>
      </c>
      <c r="F27" s="19"/>
      <c r="G27" s="19"/>
      <c r="H27" s="19">
        <v>3</v>
      </c>
      <c r="I27" s="19">
        <v>1</v>
      </c>
      <c r="J27" s="19"/>
      <c r="K27" s="19">
        <v>1</v>
      </c>
      <c r="L27" s="19"/>
      <c r="M27" s="19"/>
      <c r="N27" s="19">
        <v>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20">
        <v>45824</v>
      </c>
    </row>
    <row r="28" s="1" customFormat="1" ht="42" spans="1:30">
      <c r="A28" s="24"/>
      <c r="B28" s="25"/>
      <c r="C28" s="26"/>
      <c r="D28" s="27" t="s">
        <v>232</v>
      </c>
      <c r="E28" s="19">
        <f t="shared" si="0"/>
        <v>1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>
        <v>1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>
        <v>45824</v>
      </c>
    </row>
    <row r="29" s="1" customFormat="1" ht="42" spans="1:30">
      <c r="A29" s="21"/>
      <c r="B29" s="22"/>
      <c r="C29" s="23"/>
      <c r="D29" s="18" t="s">
        <v>233</v>
      </c>
      <c r="E29" s="19">
        <f t="shared" si="0"/>
        <v>3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>
        <v>3</v>
      </c>
      <c r="AC29" s="19"/>
      <c r="AD29" s="20">
        <v>45824</v>
      </c>
    </row>
    <row r="30" s="1" customFormat="1" ht="42" spans="1:30">
      <c r="A30" s="15">
        <v>10</v>
      </c>
      <c r="B30" s="16" t="str">
        <f>D31</f>
        <v>太平洋资产管理有限责任公司</v>
      </c>
      <c r="C30" s="17">
        <f>E30+E31</f>
        <v>10</v>
      </c>
      <c r="D30" s="18" t="s">
        <v>234</v>
      </c>
      <c r="E30" s="19">
        <f t="shared" si="0"/>
        <v>5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>
        <v>3</v>
      </c>
      <c r="AC30" s="19">
        <v>2</v>
      </c>
      <c r="AD30" s="20">
        <v>45824</v>
      </c>
    </row>
    <row r="31" s="1" customFormat="1" ht="56" spans="1:30">
      <c r="A31" s="21"/>
      <c r="B31" s="22"/>
      <c r="C31" s="23"/>
      <c r="D31" s="18" t="s">
        <v>235</v>
      </c>
      <c r="E31" s="19">
        <f t="shared" si="0"/>
        <v>5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>
        <v>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0">
        <v>45824</v>
      </c>
    </row>
    <row r="32" s="1" customFormat="1" ht="42" spans="1:30">
      <c r="A32" s="15">
        <v>11</v>
      </c>
      <c r="B32" s="16" t="str">
        <f t="shared" ref="B32:B37" si="2">D32</f>
        <v>西南证券股份有限公司</v>
      </c>
      <c r="C32" s="17">
        <f>E32+E33</f>
        <v>6</v>
      </c>
      <c r="D32" s="18" t="s">
        <v>236</v>
      </c>
      <c r="E32" s="19">
        <f t="shared" si="0"/>
        <v>1</v>
      </c>
      <c r="F32" s="19"/>
      <c r="G32" s="19"/>
      <c r="H32" s="19"/>
      <c r="I32" s="19"/>
      <c r="J32" s="19"/>
      <c r="K32" s="19">
        <v>1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>
        <v>45824</v>
      </c>
    </row>
    <row r="33" s="1" customFormat="1" ht="42" spans="1:30">
      <c r="A33" s="21"/>
      <c r="B33" s="22"/>
      <c r="C33" s="23"/>
      <c r="D33" s="18" t="s">
        <v>237</v>
      </c>
      <c r="E33" s="19">
        <f t="shared" si="0"/>
        <v>5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>
        <v>3</v>
      </c>
      <c r="AC33" s="19">
        <v>2</v>
      </c>
      <c r="AD33" s="20">
        <v>45824</v>
      </c>
    </row>
    <row r="34" s="1" customFormat="1" ht="42" spans="1:30">
      <c r="A34" s="15">
        <v>12</v>
      </c>
      <c r="B34" s="16" t="str">
        <f t="shared" si="2"/>
        <v>兴业证券股份有限公司</v>
      </c>
      <c r="C34" s="17">
        <f>E34+E35+E36</f>
        <v>18</v>
      </c>
      <c r="D34" s="18" t="s">
        <v>238</v>
      </c>
      <c r="E34" s="19">
        <f t="shared" si="0"/>
        <v>5</v>
      </c>
      <c r="F34" s="19"/>
      <c r="G34" s="19"/>
      <c r="H34" s="19">
        <v>4</v>
      </c>
      <c r="I34" s="19"/>
      <c r="J34" s="19"/>
      <c r="K34" s="19">
        <v>1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0">
        <v>45824</v>
      </c>
    </row>
    <row r="35" s="1" customFormat="1" ht="42" spans="1:30">
      <c r="A35" s="24"/>
      <c r="B35" s="25"/>
      <c r="C35" s="26"/>
      <c r="D35" s="18" t="s">
        <v>239</v>
      </c>
      <c r="E35" s="19">
        <f t="shared" si="0"/>
        <v>5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>
        <v>5</v>
      </c>
      <c r="AC35" s="19"/>
      <c r="AD35" s="20">
        <v>45824</v>
      </c>
    </row>
    <row r="36" s="1" customFormat="1" ht="42" spans="1:30">
      <c r="A36" s="21"/>
      <c r="B36" s="22"/>
      <c r="C36" s="23"/>
      <c r="D36" s="18" t="s">
        <v>240</v>
      </c>
      <c r="E36" s="19">
        <f t="shared" si="0"/>
        <v>8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>
        <v>8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0">
        <v>45824</v>
      </c>
    </row>
    <row r="37" s="1" customFormat="1" ht="42" spans="1:30">
      <c r="A37" s="15">
        <v>13</v>
      </c>
      <c r="B37" s="16" t="str">
        <f t="shared" si="2"/>
        <v>长沙银行股份有限公司</v>
      </c>
      <c r="C37" s="17">
        <f>E37+E38</f>
        <v>5</v>
      </c>
      <c r="D37" s="18" t="s">
        <v>241</v>
      </c>
      <c r="E37" s="19">
        <f t="shared" si="0"/>
        <v>3</v>
      </c>
      <c r="F37" s="19"/>
      <c r="G37" s="19"/>
      <c r="H37" s="19"/>
      <c r="I37" s="19"/>
      <c r="J37" s="19"/>
      <c r="K37" s="19"/>
      <c r="L37" s="19"/>
      <c r="M37" s="19"/>
      <c r="N37" s="19"/>
      <c r="O37" s="19">
        <v>3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0">
        <v>45824</v>
      </c>
    </row>
    <row r="38" s="1" customFormat="1" ht="56" spans="1:30">
      <c r="A38" s="21"/>
      <c r="B38" s="22"/>
      <c r="C38" s="23"/>
      <c r="D38" s="18" t="s">
        <v>242</v>
      </c>
      <c r="E38" s="19">
        <f t="shared" si="0"/>
        <v>2</v>
      </c>
      <c r="F38" s="19"/>
      <c r="G38" s="19"/>
      <c r="H38" s="19">
        <v>2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20">
        <v>45824</v>
      </c>
    </row>
    <row r="39" s="1" customFormat="1" ht="42" spans="1:30">
      <c r="A39" s="15">
        <v>14</v>
      </c>
      <c r="B39" s="16" t="str">
        <f>D40</f>
        <v>招商银行股份有限公司</v>
      </c>
      <c r="C39" s="17">
        <f>E39+E40+E41</f>
        <v>21</v>
      </c>
      <c r="D39" s="18" t="s">
        <v>243</v>
      </c>
      <c r="E39" s="19">
        <f t="shared" si="0"/>
        <v>3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>
        <v>3</v>
      </c>
      <c r="AB39" s="19"/>
      <c r="AC39" s="19"/>
      <c r="AD39" s="20">
        <v>45824</v>
      </c>
    </row>
    <row r="40" s="1" customFormat="1" ht="42" spans="1:30">
      <c r="A40" s="24"/>
      <c r="B40" s="25"/>
      <c r="C40" s="26"/>
      <c r="D40" s="27" t="s">
        <v>244</v>
      </c>
      <c r="E40" s="19">
        <f t="shared" si="0"/>
        <v>12</v>
      </c>
      <c r="F40" s="19"/>
      <c r="G40" s="19"/>
      <c r="H40" s="19"/>
      <c r="I40" s="19"/>
      <c r="J40" s="19"/>
      <c r="K40" s="19"/>
      <c r="L40" s="19"/>
      <c r="M40" s="19">
        <v>10</v>
      </c>
      <c r="N40" s="19"/>
      <c r="O40" s="19">
        <v>2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20">
        <v>45824</v>
      </c>
    </row>
    <row r="41" s="1" customFormat="1" ht="42" spans="1:30">
      <c r="A41" s="24"/>
      <c r="B41" s="25"/>
      <c r="C41" s="26"/>
      <c r="D41" s="27" t="s">
        <v>245</v>
      </c>
      <c r="E41" s="19">
        <f t="shared" si="0"/>
        <v>6</v>
      </c>
      <c r="F41" s="28"/>
      <c r="G41" s="28"/>
      <c r="H41" s="28"/>
      <c r="I41" s="28">
        <v>2</v>
      </c>
      <c r="J41" s="28"/>
      <c r="K41" s="28">
        <v>1</v>
      </c>
      <c r="L41" s="28"/>
      <c r="M41" s="28">
        <v>2</v>
      </c>
      <c r="N41" s="28"/>
      <c r="O41" s="28">
        <v>1</v>
      </c>
      <c r="P41" s="28">
        <v>0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19"/>
      <c r="AD41" s="20">
        <v>45824</v>
      </c>
    </row>
    <row r="42" s="1" customFormat="1" ht="42" spans="1:30">
      <c r="A42" s="21"/>
      <c r="B42" s="22"/>
      <c r="C42" s="23"/>
      <c r="D42" s="27" t="s">
        <v>246</v>
      </c>
      <c r="E42" s="19">
        <f t="shared" si="0"/>
        <v>3</v>
      </c>
      <c r="F42" s="28"/>
      <c r="G42" s="28"/>
      <c r="H42" s="28">
        <v>3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19"/>
      <c r="AD42" s="20">
        <v>45833</v>
      </c>
    </row>
    <row r="43" s="1" customFormat="1" ht="42" spans="1:30">
      <c r="A43" s="15">
        <v>15</v>
      </c>
      <c r="B43" s="16" t="str">
        <f>D44</f>
        <v>招商证券股份有限公司</v>
      </c>
      <c r="C43" s="17">
        <f t="shared" ref="C43:C47" si="3">E43+E44</f>
        <v>13</v>
      </c>
      <c r="D43" s="18" t="s">
        <v>247</v>
      </c>
      <c r="E43" s="19">
        <f t="shared" si="0"/>
        <v>5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>
        <v>3</v>
      </c>
      <c r="AC43" s="19">
        <v>2</v>
      </c>
      <c r="AD43" s="20">
        <v>45824</v>
      </c>
    </row>
    <row r="44" s="1" customFormat="1" ht="42" spans="1:30">
      <c r="A44" s="21"/>
      <c r="B44" s="22"/>
      <c r="C44" s="23"/>
      <c r="D44" s="18" t="s">
        <v>248</v>
      </c>
      <c r="E44" s="19">
        <f t="shared" si="0"/>
        <v>8</v>
      </c>
      <c r="F44" s="19"/>
      <c r="G44" s="19"/>
      <c r="H44" s="19">
        <v>3</v>
      </c>
      <c r="I44" s="19"/>
      <c r="J44" s="19"/>
      <c r="K44" s="19">
        <v>2</v>
      </c>
      <c r="L44" s="19"/>
      <c r="M44" s="19"/>
      <c r="N44" s="19">
        <v>3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0">
        <v>45824</v>
      </c>
    </row>
    <row r="45" s="1" customFormat="1" ht="42" spans="1:30">
      <c r="A45" s="15">
        <v>16</v>
      </c>
      <c r="B45" s="16" t="str">
        <f>D46</f>
        <v>浙江稠州商业银行股份有限公司</v>
      </c>
      <c r="C45" s="17">
        <f t="shared" si="3"/>
        <v>1.5</v>
      </c>
      <c r="D45" s="18" t="s">
        <v>249</v>
      </c>
      <c r="E45" s="19">
        <f t="shared" si="0"/>
        <v>0.5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>
        <v>0.5</v>
      </c>
      <c r="AB45" s="19"/>
      <c r="AC45" s="19"/>
      <c r="AD45" s="20">
        <v>45824</v>
      </c>
    </row>
    <row r="46" s="1" customFormat="1" ht="56" spans="1:30">
      <c r="A46" s="21"/>
      <c r="B46" s="22"/>
      <c r="C46" s="23"/>
      <c r="D46" s="18" t="s">
        <v>250</v>
      </c>
      <c r="E46" s="19">
        <f t="shared" si="0"/>
        <v>1</v>
      </c>
      <c r="F46" s="19">
        <v>0.5</v>
      </c>
      <c r="G46" s="19"/>
      <c r="H46" s="19"/>
      <c r="I46" s="19"/>
      <c r="J46" s="19"/>
      <c r="K46" s="19"/>
      <c r="L46" s="19"/>
      <c r="M46" s="19">
        <v>0.5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0">
        <v>45824</v>
      </c>
    </row>
    <row r="47" s="1" customFormat="1" ht="42" spans="1:30">
      <c r="A47" s="15">
        <v>17</v>
      </c>
      <c r="B47" s="16" t="str">
        <f>D47</f>
        <v>浙商银行股份有限公司</v>
      </c>
      <c r="C47" s="17">
        <f t="shared" si="3"/>
        <v>13.5</v>
      </c>
      <c r="D47" s="18" t="s">
        <v>251</v>
      </c>
      <c r="E47" s="19">
        <f t="shared" si="0"/>
        <v>10.5</v>
      </c>
      <c r="F47" s="19">
        <v>2</v>
      </c>
      <c r="G47" s="19"/>
      <c r="H47" s="19"/>
      <c r="I47" s="19"/>
      <c r="J47" s="19"/>
      <c r="K47" s="19">
        <v>1</v>
      </c>
      <c r="L47" s="19"/>
      <c r="M47" s="19">
        <v>1.5</v>
      </c>
      <c r="N47" s="19"/>
      <c r="O47" s="19">
        <v>3</v>
      </c>
      <c r="P47" s="19"/>
      <c r="Q47" s="19"/>
      <c r="R47" s="19"/>
      <c r="S47" s="19"/>
      <c r="T47" s="19">
        <v>3</v>
      </c>
      <c r="U47" s="19"/>
      <c r="V47" s="19"/>
      <c r="W47" s="19"/>
      <c r="X47" s="19"/>
      <c r="Y47" s="19"/>
      <c r="Z47" s="19"/>
      <c r="AA47" s="19"/>
      <c r="AB47" s="19"/>
      <c r="AC47" s="19"/>
      <c r="AD47" s="20">
        <v>45824</v>
      </c>
    </row>
    <row r="48" s="1" customFormat="1" ht="56" spans="1:30">
      <c r="A48" s="21"/>
      <c r="B48" s="22"/>
      <c r="C48" s="23"/>
      <c r="D48" s="18" t="s">
        <v>252</v>
      </c>
      <c r="E48" s="19">
        <f t="shared" si="0"/>
        <v>3</v>
      </c>
      <c r="F48" s="19"/>
      <c r="G48" s="19"/>
      <c r="H48" s="19">
        <v>3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20">
        <v>45824</v>
      </c>
    </row>
    <row r="49" s="1" customFormat="1" ht="56" spans="1:30">
      <c r="A49" s="15">
        <v>18</v>
      </c>
      <c r="B49" s="16" t="str">
        <f>D51</f>
        <v>浙商证券股份有限公司</v>
      </c>
      <c r="C49" s="17">
        <f>E49+E50+E51</f>
        <v>22</v>
      </c>
      <c r="D49" s="18" t="s">
        <v>253</v>
      </c>
      <c r="E49" s="19">
        <f t="shared" si="0"/>
        <v>5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>
        <v>3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>
        <v>2</v>
      </c>
      <c r="AD49" s="20">
        <v>45824</v>
      </c>
    </row>
    <row r="50" s="1" customFormat="1" ht="42" spans="1:30">
      <c r="A50" s="24"/>
      <c r="B50" s="25"/>
      <c r="C50" s="26"/>
      <c r="D50" s="18" t="s">
        <v>254</v>
      </c>
      <c r="E50" s="19">
        <f t="shared" si="0"/>
        <v>8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>
        <v>3</v>
      </c>
      <c r="AC50" s="19">
        <v>5</v>
      </c>
      <c r="AD50" s="20">
        <v>45824</v>
      </c>
    </row>
    <row r="51" s="1" customFormat="1" ht="42" spans="1:30">
      <c r="A51" s="21"/>
      <c r="B51" s="22"/>
      <c r="C51" s="23"/>
      <c r="D51" s="18" t="s">
        <v>255</v>
      </c>
      <c r="E51" s="19">
        <f t="shared" si="0"/>
        <v>9</v>
      </c>
      <c r="F51" s="19"/>
      <c r="G51" s="19"/>
      <c r="H51" s="19">
        <v>2</v>
      </c>
      <c r="I51" s="19">
        <v>2</v>
      </c>
      <c r="J51" s="19">
        <v>2</v>
      </c>
      <c r="K51" s="19">
        <v>1</v>
      </c>
      <c r="L51" s="19"/>
      <c r="M51" s="19"/>
      <c r="N51" s="19"/>
      <c r="O51" s="19"/>
      <c r="P51" s="19"/>
      <c r="Q51" s="19"/>
      <c r="R51" s="19">
        <v>2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20">
        <v>45824</v>
      </c>
    </row>
    <row r="52" s="1" customFormat="1" ht="42" spans="1:30">
      <c r="A52" s="15">
        <v>19</v>
      </c>
      <c r="B52" s="16" t="str">
        <f>D54</f>
        <v>中国光大银行股份有限公司</v>
      </c>
      <c r="C52" s="17">
        <f>E52+E53+E54</f>
        <v>22</v>
      </c>
      <c r="D52" s="18" t="s">
        <v>256</v>
      </c>
      <c r="E52" s="19">
        <f t="shared" si="0"/>
        <v>2</v>
      </c>
      <c r="F52" s="19"/>
      <c r="G52" s="19"/>
      <c r="H52" s="19"/>
      <c r="I52" s="19"/>
      <c r="J52" s="19"/>
      <c r="K52" s="19"/>
      <c r="L52" s="19">
        <v>2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20">
        <v>45824</v>
      </c>
    </row>
    <row r="53" s="1" customFormat="1" ht="42" spans="1:30">
      <c r="A53" s="24"/>
      <c r="B53" s="25"/>
      <c r="C53" s="26"/>
      <c r="D53" s="18" t="s">
        <v>257</v>
      </c>
      <c r="E53" s="19">
        <f t="shared" si="0"/>
        <v>4</v>
      </c>
      <c r="F53" s="19"/>
      <c r="G53" s="19"/>
      <c r="H53" s="19">
        <v>4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20">
        <v>45824</v>
      </c>
    </row>
    <row r="54" s="1" customFormat="1" ht="42" spans="1:30">
      <c r="A54" s="21"/>
      <c r="B54" s="22"/>
      <c r="C54" s="23"/>
      <c r="D54" s="18" t="s">
        <v>258</v>
      </c>
      <c r="E54" s="19">
        <f t="shared" si="0"/>
        <v>16</v>
      </c>
      <c r="F54" s="19">
        <v>2</v>
      </c>
      <c r="G54" s="19"/>
      <c r="H54" s="19"/>
      <c r="I54" s="19"/>
      <c r="J54" s="19"/>
      <c r="K54" s="19">
        <v>1</v>
      </c>
      <c r="L54" s="19"/>
      <c r="M54" s="19">
        <v>6</v>
      </c>
      <c r="N54" s="19"/>
      <c r="O54" s="19">
        <v>7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20">
        <v>45824</v>
      </c>
    </row>
    <row r="55" s="1" customFormat="1" ht="56" spans="1:30">
      <c r="A55" s="15">
        <v>20</v>
      </c>
      <c r="B55" s="16" t="str">
        <f>D55</f>
        <v>中国邮政储蓄银行股份有限公司</v>
      </c>
      <c r="C55" s="17">
        <f>E55+E56</f>
        <v>22.5</v>
      </c>
      <c r="D55" s="18" t="s">
        <v>259</v>
      </c>
      <c r="E55" s="19">
        <f t="shared" si="0"/>
        <v>18.5</v>
      </c>
      <c r="F55" s="19">
        <v>4.5</v>
      </c>
      <c r="G55" s="19"/>
      <c r="H55" s="19"/>
      <c r="I55" s="19"/>
      <c r="J55" s="19"/>
      <c r="K55" s="19"/>
      <c r="L55" s="19"/>
      <c r="M55" s="19">
        <v>5.5</v>
      </c>
      <c r="N55" s="19">
        <v>5</v>
      </c>
      <c r="O55" s="19">
        <v>3.5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20">
        <v>45824</v>
      </c>
    </row>
    <row r="56" s="1" customFormat="1" ht="42" spans="1:30">
      <c r="A56" s="21"/>
      <c r="B56" s="22"/>
      <c r="C56" s="23"/>
      <c r="D56" s="18" t="s">
        <v>260</v>
      </c>
      <c r="E56" s="19">
        <f t="shared" si="0"/>
        <v>4</v>
      </c>
      <c r="F56" s="19"/>
      <c r="G56" s="19"/>
      <c r="H56" s="19">
        <v>4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20">
        <v>45824</v>
      </c>
    </row>
    <row r="57" s="1" customFormat="1" ht="42" spans="1:30">
      <c r="A57" s="15">
        <v>21</v>
      </c>
      <c r="B57" s="16" t="str">
        <f>D57</f>
        <v>中原银行股份有限公司</v>
      </c>
      <c r="C57" s="17">
        <f>E57+E58</f>
        <v>6</v>
      </c>
      <c r="D57" s="18" t="s">
        <v>261</v>
      </c>
      <c r="E57" s="19">
        <f t="shared" si="0"/>
        <v>3</v>
      </c>
      <c r="F57" s="19"/>
      <c r="G57" s="19"/>
      <c r="H57" s="19"/>
      <c r="I57" s="19"/>
      <c r="J57" s="19"/>
      <c r="K57" s="19"/>
      <c r="L57" s="19"/>
      <c r="M57" s="19">
        <v>1</v>
      </c>
      <c r="N57" s="19"/>
      <c r="O57" s="19">
        <v>2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20">
        <v>45824</v>
      </c>
    </row>
    <row r="58" s="1" customFormat="1" ht="56" spans="1:30">
      <c r="A58" s="21"/>
      <c r="B58" s="22"/>
      <c r="C58" s="23"/>
      <c r="D58" s="18" t="s">
        <v>262</v>
      </c>
      <c r="E58" s="19">
        <f t="shared" si="0"/>
        <v>3</v>
      </c>
      <c r="F58" s="19"/>
      <c r="G58" s="19"/>
      <c r="H58" s="19">
        <v>3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20">
        <v>45824</v>
      </c>
    </row>
    <row r="59" s="1" customFormat="1" ht="42" spans="1:30">
      <c r="A59" s="15">
        <v>22</v>
      </c>
      <c r="B59" s="16" t="str">
        <f>D62</f>
        <v>光大证券股份有限公司</v>
      </c>
      <c r="C59" s="17">
        <f>E59+E60+E61+E62</f>
        <v>23.5</v>
      </c>
      <c r="D59" s="18" t="s">
        <v>263</v>
      </c>
      <c r="E59" s="19">
        <f t="shared" si="0"/>
        <v>2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>
        <v>2</v>
      </c>
      <c r="AC59" s="19"/>
      <c r="AD59" s="20">
        <v>45824</v>
      </c>
    </row>
    <row r="60" s="1" customFormat="1" ht="56" spans="1:30">
      <c r="A60" s="24"/>
      <c r="B60" s="25"/>
      <c r="C60" s="26"/>
      <c r="D60" s="18" t="s">
        <v>264</v>
      </c>
      <c r="E60" s="19">
        <f t="shared" si="0"/>
        <v>2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>
        <v>2</v>
      </c>
      <c r="AC60" s="19"/>
      <c r="AD60" s="20">
        <v>45824</v>
      </c>
    </row>
    <row r="61" s="1" customFormat="1" ht="56" spans="1:30">
      <c r="A61" s="24"/>
      <c r="B61" s="25"/>
      <c r="C61" s="26"/>
      <c r="D61" s="18" t="s">
        <v>265</v>
      </c>
      <c r="E61" s="19">
        <f t="shared" si="0"/>
        <v>17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>
        <v>17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20">
        <v>45824</v>
      </c>
    </row>
    <row r="62" s="1" customFormat="1" ht="42" spans="1:30">
      <c r="A62" s="21"/>
      <c r="B62" s="22"/>
      <c r="C62" s="23"/>
      <c r="D62" s="18" t="s">
        <v>266</v>
      </c>
      <c r="E62" s="19">
        <f t="shared" si="0"/>
        <v>2.5</v>
      </c>
      <c r="F62" s="19"/>
      <c r="G62" s="19"/>
      <c r="H62" s="19">
        <v>2</v>
      </c>
      <c r="I62" s="19"/>
      <c r="J62" s="19"/>
      <c r="K62" s="19"/>
      <c r="L62" s="19"/>
      <c r="M62" s="19"/>
      <c r="N62" s="19">
        <v>0.5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0">
        <v>45824</v>
      </c>
    </row>
    <row r="63" s="1" customFormat="1" ht="42" spans="1:30">
      <c r="A63" s="15">
        <v>23</v>
      </c>
      <c r="B63" s="16" t="str">
        <f>D63</f>
        <v>交通银行股份有限公司</v>
      </c>
      <c r="C63" s="17">
        <f>E63+E64+E65</f>
        <v>23.5</v>
      </c>
      <c r="D63" s="18" t="s">
        <v>267</v>
      </c>
      <c r="E63" s="19">
        <f t="shared" si="0"/>
        <v>11.5</v>
      </c>
      <c r="F63" s="19">
        <v>1</v>
      </c>
      <c r="G63" s="19"/>
      <c r="H63" s="19"/>
      <c r="I63" s="19"/>
      <c r="J63" s="19"/>
      <c r="K63" s="19"/>
      <c r="L63" s="19"/>
      <c r="M63" s="19">
        <v>7.5</v>
      </c>
      <c r="N63" s="19"/>
      <c r="O63" s="19">
        <v>3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20">
        <v>45824</v>
      </c>
    </row>
    <row r="64" s="1" customFormat="1" ht="56" spans="1:30">
      <c r="A64" s="24"/>
      <c r="B64" s="25"/>
      <c r="C64" s="26"/>
      <c r="D64" s="18" t="s">
        <v>268</v>
      </c>
      <c r="E64" s="19">
        <f t="shared" si="0"/>
        <v>7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>
        <v>3</v>
      </c>
      <c r="AC64" s="19">
        <v>4</v>
      </c>
      <c r="AD64" s="20">
        <v>45917</v>
      </c>
    </row>
    <row r="65" s="1" customFormat="1" ht="42" spans="1:30">
      <c r="A65" s="21"/>
      <c r="B65" s="22"/>
      <c r="C65" s="23"/>
      <c r="D65" s="18" t="s">
        <v>269</v>
      </c>
      <c r="E65" s="19">
        <f t="shared" si="0"/>
        <v>5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>
        <v>5</v>
      </c>
      <c r="Y65" s="19"/>
      <c r="Z65" s="19"/>
      <c r="AA65" s="19"/>
      <c r="AB65" s="19"/>
      <c r="AC65" s="19"/>
      <c r="AD65" s="20">
        <v>45824</v>
      </c>
    </row>
    <row r="66" s="1" customFormat="1" ht="42" spans="1:30">
      <c r="A66" s="15">
        <v>24</v>
      </c>
      <c r="B66" s="16" t="str">
        <f>D66</f>
        <v>宁波银行股份有限公司</v>
      </c>
      <c r="C66" s="17">
        <f>E66+E67+E68+E69</f>
        <v>23.5</v>
      </c>
      <c r="D66" s="18" t="s">
        <v>270</v>
      </c>
      <c r="E66" s="19">
        <f t="shared" si="0"/>
        <v>9</v>
      </c>
      <c r="F66" s="19"/>
      <c r="G66" s="19"/>
      <c r="H66" s="19"/>
      <c r="I66" s="19"/>
      <c r="J66" s="19"/>
      <c r="K66" s="19"/>
      <c r="L66" s="19"/>
      <c r="M66" s="19">
        <v>8</v>
      </c>
      <c r="N66" s="19"/>
      <c r="O66" s="19">
        <v>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20">
        <v>45824</v>
      </c>
    </row>
    <row r="67" s="1" customFormat="1" ht="42" spans="1:30">
      <c r="A67" s="24"/>
      <c r="B67" s="25"/>
      <c r="C67" s="26"/>
      <c r="D67" s="18" t="s">
        <v>271</v>
      </c>
      <c r="E67" s="19">
        <f t="shared" si="0"/>
        <v>4.5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>
        <v>2</v>
      </c>
      <c r="AC67" s="19">
        <v>2.5</v>
      </c>
      <c r="AD67" s="20">
        <v>45824</v>
      </c>
    </row>
    <row r="68" s="1" customFormat="1" ht="42" spans="1:30">
      <c r="A68" s="24"/>
      <c r="B68" s="25"/>
      <c r="C68" s="26"/>
      <c r="D68" s="18" t="s">
        <v>272</v>
      </c>
      <c r="E68" s="19">
        <f t="shared" ref="E68:E109" si="4">SUM(F68:AC68)</f>
        <v>5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>
        <v>5</v>
      </c>
      <c r="AB68" s="19"/>
      <c r="AC68" s="19"/>
      <c r="AD68" s="20">
        <v>45824</v>
      </c>
    </row>
    <row r="69" s="1" customFormat="1" ht="56" spans="1:30">
      <c r="A69" s="21"/>
      <c r="B69" s="22"/>
      <c r="C69" s="23"/>
      <c r="D69" s="18" t="s">
        <v>273</v>
      </c>
      <c r="E69" s="19">
        <f t="shared" si="4"/>
        <v>5</v>
      </c>
      <c r="F69" s="19"/>
      <c r="G69" s="19"/>
      <c r="H69" s="19">
        <v>5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20">
        <v>45824</v>
      </c>
    </row>
    <row r="70" s="1" customFormat="1" ht="42" spans="1:30">
      <c r="A70" s="15">
        <v>25</v>
      </c>
      <c r="B70" s="16" t="str">
        <f>D72</f>
        <v>上海浦东发展银行股份有限公司</v>
      </c>
      <c r="C70" s="17">
        <f>E70+E71+E72</f>
        <v>21.5</v>
      </c>
      <c r="D70" s="18" t="s">
        <v>274</v>
      </c>
      <c r="E70" s="19">
        <f t="shared" si="4"/>
        <v>4.5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>
        <v>2.5</v>
      </c>
      <c r="AC70" s="19">
        <v>2</v>
      </c>
      <c r="AD70" s="20">
        <v>45824</v>
      </c>
    </row>
    <row r="71" s="1" customFormat="1" ht="42" spans="1:30">
      <c r="A71" s="24"/>
      <c r="B71" s="25"/>
      <c r="C71" s="26"/>
      <c r="D71" s="27" t="s">
        <v>275</v>
      </c>
      <c r="E71" s="19">
        <f t="shared" si="4"/>
        <v>2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>
        <v>2</v>
      </c>
      <c r="Y71" s="19"/>
      <c r="Z71" s="19"/>
      <c r="AA71" s="19"/>
      <c r="AB71" s="19"/>
      <c r="AC71" s="19"/>
      <c r="AD71" s="20">
        <v>45824</v>
      </c>
    </row>
    <row r="72" s="1" customFormat="1" ht="56" spans="1:30">
      <c r="A72" s="21"/>
      <c r="B72" s="22"/>
      <c r="C72" s="23"/>
      <c r="D72" s="18" t="s">
        <v>276</v>
      </c>
      <c r="E72" s="19">
        <f t="shared" si="4"/>
        <v>15</v>
      </c>
      <c r="F72" s="19">
        <v>8</v>
      </c>
      <c r="G72" s="19"/>
      <c r="H72" s="19"/>
      <c r="I72" s="19"/>
      <c r="J72" s="19"/>
      <c r="K72" s="19"/>
      <c r="L72" s="19"/>
      <c r="M72" s="19">
        <v>5</v>
      </c>
      <c r="N72" s="19"/>
      <c r="O72" s="19">
        <v>2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20">
        <v>45824</v>
      </c>
    </row>
    <row r="73" s="1" customFormat="1" ht="56" spans="1:30">
      <c r="A73" s="15">
        <v>26</v>
      </c>
      <c r="B73" s="16" t="str">
        <f>D74</f>
        <v>上海银行股份有限公司</v>
      </c>
      <c r="C73" s="17">
        <f>E73+E74+E75</f>
        <v>19</v>
      </c>
      <c r="D73" s="18" t="s">
        <v>277</v>
      </c>
      <c r="E73" s="19">
        <f t="shared" si="4"/>
        <v>2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>
        <v>2</v>
      </c>
      <c r="AB73" s="19"/>
      <c r="AC73" s="19"/>
      <c r="AD73" s="20">
        <v>45824</v>
      </c>
    </row>
    <row r="74" s="1" customFormat="1" ht="42" spans="1:30">
      <c r="A74" s="24"/>
      <c r="B74" s="25"/>
      <c r="C74" s="26"/>
      <c r="D74" s="18" t="s">
        <v>278</v>
      </c>
      <c r="E74" s="19">
        <f t="shared" si="4"/>
        <v>10</v>
      </c>
      <c r="F74" s="19"/>
      <c r="G74" s="19"/>
      <c r="H74" s="19"/>
      <c r="I74" s="19"/>
      <c r="J74" s="19"/>
      <c r="K74" s="19"/>
      <c r="L74" s="19"/>
      <c r="M74" s="19">
        <v>8</v>
      </c>
      <c r="N74" s="19"/>
      <c r="O74" s="19">
        <v>2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20">
        <v>45824</v>
      </c>
    </row>
    <row r="75" s="1" customFormat="1" ht="42" spans="1:30">
      <c r="A75" s="21"/>
      <c r="B75" s="22"/>
      <c r="C75" s="23"/>
      <c r="D75" s="18" t="s">
        <v>279</v>
      </c>
      <c r="E75" s="19">
        <f t="shared" si="4"/>
        <v>7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>
        <v>3</v>
      </c>
      <c r="AC75" s="19">
        <v>4</v>
      </c>
      <c r="AD75" s="20">
        <v>45824</v>
      </c>
    </row>
    <row r="76" s="1" customFormat="1" ht="42" spans="1:30">
      <c r="A76" s="15">
        <v>27</v>
      </c>
      <c r="B76" s="16" t="str">
        <f>D78</f>
        <v>兴业银行股份有限公司</v>
      </c>
      <c r="C76" s="17">
        <f>E76+E77+E78</f>
        <v>22.5</v>
      </c>
      <c r="D76" s="18" t="s">
        <v>280</v>
      </c>
      <c r="E76" s="19">
        <f t="shared" si="4"/>
        <v>5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>
        <v>3</v>
      </c>
      <c r="AC76" s="19">
        <v>2</v>
      </c>
      <c r="AD76" s="20">
        <v>45917</v>
      </c>
    </row>
    <row r="77" s="1" customFormat="1" ht="42" spans="1:30">
      <c r="A77" s="24"/>
      <c r="B77" s="25"/>
      <c r="C77" s="26"/>
      <c r="D77" s="18" t="s">
        <v>281</v>
      </c>
      <c r="E77" s="19">
        <f t="shared" si="4"/>
        <v>2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>
        <v>2</v>
      </c>
      <c r="AB77" s="19"/>
      <c r="AC77" s="19"/>
      <c r="AD77" s="20">
        <v>45824</v>
      </c>
    </row>
    <row r="78" s="1" customFormat="1" ht="42" spans="1:30">
      <c r="A78" s="21"/>
      <c r="B78" s="22"/>
      <c r="C78" s="23"/>
      <c r="D78" s="18" t="s">
        <v>282</v>
      </c>
      <c r="E78" s="19">
        <f t="shared" si="4"/>
        <v>15.5</v>
      </c>
      <c r="F78" s="19">
        <v>6.5</v>
      </c>
      <c r="G78" s="19"/>
      <c r="H78" s="19"/>
      <c r="I78" s="19"/>
      <c r="J78" s="19"/>
      <c r="K78" s="19"/>
      <c r="L78" s="19"/>
      <c r="M78" s="19">
        <v>5</v>
      </c>
      <c r="N78" s="19">
        <v>1.5</v>
      </c>
      <c r="O78" s="19">
        <v>1.5</v>
      </c>
      <c r="P78" s="19"/>
      <c r="Q78" s="19"/>
      <c r="R78" s="19"/>
      <c r="S78" s="19"/>
      <c r="T78" s="19"/>
      <c r="U78" s="19"/>
      <c r="V78" s="19">
        <v>1</v>
      </c>
      <c r="W78" s="19"/>
      <c r="X78" s="19"/>
      <c r="Y78" s="19"/>
      <c r="Z78" s="19"/>
      <c r="AA78" s="19"/>
      <c r="AB78" s="19"/>
      <c r="AC78" s="19"/>
      <c r="AD78" s="20">
        <v>45824</v>
      </c>
    </row>
    <row r="79" s="1" customFormat="1" ht="42" spans="1:30">
      <c r="A79" s="15">
        <v>28</v>
      </c>
      <c r="B79" s="16" t="str">
        <f>D81</f>
        <v>中国工商银行股份有限公司</v>
      </c>
      <c r="C79" s="17">
        <f>E79+E80+E81</f>
        <v>23</v>
      </c>
      <c r="D79" s="18" t="s">
        <v>283</v>
      </c>
      <c r="E79" s="19">
        <f t="shared" si="4"/>
        <v>3</v>
      </c>
      <c r="F79" s="19"/>
      <c r="G79" s="19"/>
      <c r="H79" s="19">
        <v>3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20">
        <v>45824</v>
      </c>
    </row>
    <row r="80" s="1" customFormat="1" ht="42" spans="1:30">
      <c r="A80" s="24"/>
      <c r="B80" s="25"/>
      <c r="C80" s="26"/>
      <c r="D80" s="18" t="s">
        <v>284</v>
      </c>
      <c r="E80" s="19">
        <f t="shared" si="4"/>
        <v>7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>
        <v>5</v>
      </c>
      <c r="AC80" s="19">
        <v>2</v>
      </c>
      <c r="AD80" s="20">
        <v>45824</v>
      </c>
    </row>
    <row r="81" s="1" customFormat="1" ht="42" spans="1:30">
      <c r="A81" s="21"/>
      <c r="B81" s="22"/>
      <c r="C81" s="23"/>
      <c r="D81" s="18" t="s">
        <v>285</v>
      </c>
      <c r="E81" s="19">
        <f t="shared" si="4"/>
        <v>13</v>
      </c>
      <c r="F81" s="19">
        <v>2</v>
      </c>
      <c r="G81" s="19"/>
      <c r="H81" s="19"/>
      <c r="I81" s="19"/>
      <c r="J81" s="19"/>
      <c r="K81" s="19"/>
      <c r="L81" s="19"/>
      <c r="M81" s="19">
        <v>7</v>
      </c>
      <c r="N81" s="19"/>
      <c r="O81" s="19">
        <v>2</v>
      </c>
      <c r="P81" s="19"/>
      <c r="Q81" s="19"/>
      <c r="R81" s="19"/>
      <c r="S81" s="19"/>
      <c r="T81" s="19"/>
      <c r="U81" s="19"/>
      <c r="V81" s="19">
        <v>2</v>
      </c>
      <c r="W81" s="19"/>
      <c r="X81" s="19"/>
      <c r="Y81" s="19"/>
      <c r="Z81" s="19"/>
      <c r="AA81" s="19"/>
      <c r="AB81" s="19"/>
      <c r="AC81" s="19"/>
      <c r="AD81" s="20">
        <v>45824</v>
      </c>
    </row>
    <row r="82" s="1" customFormat="1" ht="42" spans="1:30">
      <c r="A82" s="15">
        <v>29</v>
      </c>
      <c r="B82" s="16" t="str">
        <f>D84</f>
        <v>中国建设银行股份有限公司</v>
      </c>
      <c r="C82" s="17">
        <f>E82+E83+E84+E85</f>
        <v>26</v>
      </c>
      <c r="D82" s="18" t="s">
        <v>286</v>
      </c>
      <c r="E82" s="19">
        <f t="shared" si="4"/>
        <v>5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>
        <v>4</v>
      </c>
      <c r="AC82" s="19">
        <v>1</v>
      </c>
      <c r="AD82" s="20">
        <v>45824</v>
      </c>
    </row>
    <row r="83" s="1" customFormat="1" ht="42" spans="1:30">
      <c r="A83" s="24"/>
      <c r="B83" s="25"/>
      <c r="C83" s="26"/>
      <c r="D83" s="18" t="s">
        <v>287</v>
      </c>
      <c r="E83" s="19">
        <f t="shared" si="4"/>
        <v>3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>
        <v>3</v>
      </c>
      <c r="Y83" s="19"/>
      <c r="Z83" s="19"/>
      <c r="AA83" s="19"/>
      <c r="AB83" s="19"/>
      <c r="AC83" s="19"/>
      <c r="AD83" s="20">
        <v>45824</v>
      </c>
    </row>
    <row r="84" s="1" customFormat="1" ht="42" spans="1:30">
      <c r="A84" s="24"/>
      <c r="B84" s="25"/>
      <c r="C84" s="26"/>
      <c r="D84" s="18" t="s">
        <v>288</v>
      </c>
      <c r="E84" s="19">
        <f t="shared" si="4"/>
        <v>15.5</v>
      </c>
      <c r="F84" s="19">
        <v>2</v>
      </c>
      <c r="G84" s="19"/>
      <c r="H84" s="19"/>
      <c r="I84" s="19"/>
      <c r="J84" s="19"/>
      <c r="K84" s="19"/>
      <c r="L84" s="19"/>
      <c r="M84" s="19">
        <v>7</v>
      </c>
      <c r="N84" s="19">
        <v>2</v>
      </c>
      <c r="O84" s="19">
        <v>2.5</v>
      </c>
      <c r="P84" s="19"/>
      <c r="Q84" s="19"/>
      <c r="R84" s="19"/>
      <c r="S84" s="19"/>
      <c r="T84" s="19"/>
      <c r="U84" s="19"/>
      <c r="V84" s="19">
        <v>2</v>
      </c>
      <c r="W84" s="19"/>
      <c r="X84" s="19"/>
      <c r="Y84" s="19"/>
      <c r="Z84" s="19"/>
      <c r="AA84" s="19"/>
      <c r="AB84" s="19"/>
      <c r="AC84" s="19"/>
      <c r="AD84" s="20">
        <v>45824</v>
      </c>
    </row>
    <row r="85" s="1" customFormat="1" ht="42" spans="1:30">
      <c r="A85" s="21"/>
      <c r="B85" s="22"/>
      <c r="C85" s="23"/>
      <c r="D85" s="18" t="s">
        <v>289</v>
      </c>
      <c r="E85" s="19">
        <f t="shared" si="4"/>
        <v>2.5</v>
      </c>
      <c r="F85" s="19"/>
      <c r="G85" s="19"/>
      <c r="H85" s="19">
        <v>1.5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>
        <v>1</v>
      </c>
      <c r="W85" s="19"/>
      <c r="X85" s="19"/>
      <c r="Y85" s="19"/>
      <c r="Z85" s="19"/>
      <c r="AA85" s="19"/>
      <c r="AB85" s="19"/>
      <c r="AC85" s="19"/>
      <c r="AD85" s="20">
        <v>46057</v>
      </c>
    </row>
    <row r="86" s="1" customFormat="1" ht="42" spans="1:30">
      <c r="A86" s="15">
        <v>30</v>
      </c>
      <c r="B86" s="16" t="str">
        <f>D87</f>
        <v>中国农业银行股份有限公司</v>
      </c>
      <c r="C86" s="17">
        <f>E86+E87</f>
        <v>20</v>
      </c>
      <c r="D86" s="18" t="s">
        <v>290</v>
      </c>
      <c r="E86" s="19">
        <f t="shared" si="4"/>
        <v>5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>
        <v>4</v>
      </c>
      <c r="AC86" s="19">
        <v>1</v>
      </c>
      <c r="AD86" s="20">
        <v>45824</v>
      </c>
    </row>
    <row r="87" s="1" customFormat="1" ht="42" spans="1:30">
      <c r="A87" s="21"/>
      <c r="B87" s="22"/>
      <c r="C87" s="23"/>
      <c r="D87" s="18" t="s">
        <v>291</v>
      </c>
      <c r="E87" s="19">
        <f t="shared" si="4"/>
        <v>15</v>
      </c>
      <c r="F87" s="19">
        <v>3</v>
      </c>
      <c r="G87" s="19"/>
      <c r="H87" s="19"/>
      <c r="I87" s="19"/>
      <c r="J87" s="19"/>
      <c r="K87" s="19"/>
      <c r="L87" s="19"/>
      <c r="M87" s="19">
        <v>7</v>
      </c>
      <c r="N87" s="19">
        <v>2</v>
      </c>
      <c r="O87" s="19">
        <v>3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20">
        <v>45824</v>
      </c>
    </row>
    <row r="88" s="1" customFormat="1" ht="42" spans="1:30">
      <c r="A88" s="15">
        <v>31</v>
      </c>
      <c r="B88" s="16" t="str">
        <f>D90</f>
        <v>中国平安保险（集团）股份有限公司</v>
      </c>
      <c r="C88" s="17">
        <f>E88+E89+E90+E91</f>
        <v>23.5</v>
      </c>
      <c r="D88" s="18" t="s">
        <v>292</v>
      </c>
      <c r="E88" s="19">
        <f t="shared" si="4"/>
        <v>5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>
        <v>3</v>
      </c>
      <c r="S88" s="19"/>
      <c r="T88" s="19"/>
      <c r="U88" s="19"/>
      <c r="V88" s="19"/>
      <c r="W88" s="19"/>
      <c r="X88" s="19"/>
      <c r="Y88" s="19"/>
      <c r="Z88" s="19"/>
      <c r="AA88" s="19"/>
      <c r="AB88" s="19">
        <v>1</v>
      </c>
      <c r="AC88" s="19">
        <v>1</v>
      </c>
      <c r="AD88" s="20">
        <v>45824</v>
      </c>
    </row>
    <row r="89" s="1" customFormat="1" ht="42" spans="1:30">
      <c r="A89" s="24"/>
      <c r="B89" s="25"/>
      <c r="C89" s="26"/>
      <c r="D89" s="18" t="s">
        <v>293</v>
      </c>
      <c r="E89" s="19">
        <f t="shared" si="4"/>
        <v>8</v>
      </c>
      <c r="F89" s="19"/>
      <c r="G89" s="19"/>
      <c r="H89" s="19"/>
      <c r="I89" s="19"/>
      <c r="J89" s="19"/>
      <c r="K89" s="19"/>
      <c r="L89" s="19"/>
      <c r="M89" s="19">
        <v>4</v>
      </c>
      <c r="N89" s="19">
        <v>2</v>
      </c>
      <c r="O89" s="19">
        <v>2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20">
        <v>45824</v>
      </c>
    </row>
    <row r="90" s="1" customFormat="1" ht="56" spans="1:30">
      <c r="A90" s="24"/>
      <c r="B90" s="25"/>
      <c r="C90" s="26"/>
      <c r="D90" s="18" t="s">
        <v>294</v>
      </c>
      <c r="E90" s="19">
        <f t="shared" si="4"/>
        <v>8</v>
      </c>
      <c r="F90" s="19"/>
      <c r="G90" s="19"/>
      <c r="H90" s="19">
        <v>8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20">
        <v>45824</v>
      </c>
    </row>
    <row r="91" s="1" customFormat="1" ht="42" spans="1:30">
      <c r="A91" s="21"/>
      <c r="B91" s="22"/>
      <c r="C91" s="23"/>
      <c r="D91" s="18" t="s">
        <v>295</v>
      </c>
      <c r="E91" s="19">
        <f t="shared" si="4"/>
        <v>2.5</v>
      </c>
      <c r="F91" s="19"/>
      <c r="G91" s="19"/>
      <c r="H91" s="19">
        <v>0.5</v>
      </c>
      <c r="I91" s="19"/>
      <c r="J91" s="19"/>
      <c r="K91" s="19"/>
      <c r="L91" s="19"/>
      <c r="M91" s="19"/>
      <c r="N91" s="19">
        <v>2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20">
        <v>45824</v>
      </c>
    </row>
    <row r="92" s="1" customFormat="1" ht="42" spans="1:30">
      <c r="A92" s="15">
        <v>32</v>
      </c>
      <c r="B92" s="16" t="str">
        <f>D92</f>
        <v>中国银行股份有限公司</v>
      </c>
      <c r="C92" s="17">
        <f>E92+E93</f>
        <v>23.5</v>
      </c>
      <c r="D92" s="18" t="s">
        <v>296</v>
      </c>
      <c r="E92" s="19">
        <f t="shared" si="4"/>
        <v>19.5</v>
      </c>
      <c r="F92" s="19">
        <v>6</v>
      </c>
      <c r="G92" s="19"/>
      <c r="H92" s="19"/>
      <c r="I92" s="19"/>
      <c r="J92" s="19"/>
      <c r="K92" s="19"/>
      <c r="L92" s="19"/>
      <c r="M92" s="19">
        <v>7</v>
      </c>
      <c r="N92" s="19">
        <v>1.5</v>
      </c>
      <c r="O92" s="19">
        <v>2</v>
      </c>
      <c r="P92" s="19"/>
      <c r="Q92" s="19"/>
      <c r="R92" s="19"/>
      <c r="S92" s="19"/>
      <c r="T92" s="19"/>
      <c r="U92" s="19"/>
      <c r="V92" s="19">
        <v>3</v>
      </c>
      <c r="W92" s="19"/>
      <c r="X92" s="19"/>
      <c r="Y92" s="19"/>
      <c r="Z92" s="19"/>
      <c r="AA92" s="19"/>
      <c r="AB92" s="19"/>
      <c r="AC92" s="19"/>
      <c r="AD92" s="20">
        <v>45824</v>
      </c>
    </row>
    <row r="93" s="1" customFormat="1" ht="42" spans="1:30">
      <c r="A93" s="21"/>
      <c r="B93" s="22"/>
      <c r="C93" s="23"/>
      <c r="D93" s="18" t="s">
        <v>297</v>
      </c>
      <c r="E93" s="19">
        <f t="shared" si="4"/>
        <v>4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>
        <v>3</v>
      </c>
      <c r="AC93" s="19">
        <v>1</v>
      </c>
      <c r="AD93" s="20">
        <v>45824</v>
      </c>
    </row>
    <row r="94" s="1" customFormat="1" ht="42" spans="1:30">
      <c r="A94" s="15">
        <v>33</v>
      </c>
      <c r="B94" s="16" t="str">
        <f>D96</f>
        <v>中信证券股份有限公司</v>
      </c>
      <c r="C94" s="17">
        <f>E94+E95+E96</f>
        <v>20</v>
      </c>
      <c r="D94" s="27" t="s">
        <v>298</v>
      </c>
      <c r="E94" s="19">
        <f t="shared" si="4"/>
        <v>3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>
        <v>2</v>
      </c>
      <c r="AC94" s="19">
        <v>1</v>
      </c>
      <c r="AD94" s="20">
        <v>45824</v>
      </c>
    </row>
    <row r="95" s="1" customFormat="1" ht="42" spans="1:30">
      <c r="A95" s="24"/>
      <c r="B95" s="25"/>
      <c r="C95" s="26"/>
      <c r="D95" s="18" t="s">
        <v>299</v>
      </c>
      <c r="E95" s="19">
        <f t="shared" si="4"/>
        <v>10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>
        <v>10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20">
        <v>45824</v>
      </c>
    </row>
    <row r="96" s="1" customFormat="1" ht="42" spans="1:30">
      <c r="A96" s="21"/>
      <c r="B96" s="22"/>
      <c r="C96" s="23"/>
      <c r="D96" s="18" t="s">
        <v>300</v>
      </c>
      <c r="E96" s="19">
        <f t="shared" si="4"/>
        <v>7</v>
      </c>
      <c r="F96" s="19"/>
      <c r="G96" s="19"/>
      <c r="H96" s="19">
        <v>3</v>
      </c>
      <c r="I96" s="19">
        <v>1</v>
      </c>
      <c r="J96" s="19"/>
      <c r="K96" s="19"/>
      <c r="L96" s="19"/>
      <c r="M96" s="19"/>
      <c r="N96" s="19">
        <v>2</v>
      </c>
      <c r="O96" s="19"/>
      <c r="P96" s="19"/>
      <c r="Q96" s="19"/>
      <c r="R96" s="19"/>
      <c r="S96" s="19"/>
      <c r="T96" s="19"/>
      <c r="U96" s="19"/>
      <c r="V96" s="19">
        <v>1</v>
      </c>
      <c r="W96" s="19"/>
      <c r="X96" s="19"/>
      <c r="Y96" s="19"/>
      <c r="Z96" s="19"/>
      <c r="AA96" s="19"/>
      <c r="AB96" s="19"/>
      <c r="AC96" s="19"/>
      <c r="AD96" s="20">
        <v>45824</v>
      </c>
    </row>
    <row r="97" s="1" customFormat="1" ht="45" spans="1:30">
      <c r="A97" s="15">
        <v>34</v>
      </c>
      <c r="B97" s="29" t="s">
        <v>301</v>
      </c>
      <c r="C97" s="17">
        <f t="shared" ref="C97:C101" si="5">E97+E98</f>
        <v>21.5</v>
      </c>
      <c r="D97" s="30" t="s">
        <v>301</v>
      </c>
      <c r="E97" s="19">
        <f t="shared" si="4"/>
        <v>19.5</v>
      </c>
      <c r="F97" s="19">
        <v>7</v>
      </c>
      <c r="G97" s="19"/>
      <c r="H97" s="19"/>
      <c r="I97" s="19"/>
      <c r="J97" s="19"/>
      <c r="K97" s="19">
        <v>0.5</v>
      </c>
      <c r="L97" s="19"/>
      <c r="M97" s="19">
        <v>3</v>
      </c>
      <c r="N97" s="19"/>
      <c r="O97" s="19">
        <v>6</v>
      </c>
      <c r="P97" s="19"/>
      <c r="Q97" s="19"/>
      <c r="R97" s="19"/>
      <c r="S97" s="19"/>
      <c r="T97" s="19"/>
      <c r="U97" s="19"/>
      <c r="V97" s="19">
        <v>3</v>
      </c>
      <c r="W97" s="19"/>
      <c r="X97" s="19"/>
      <c r="Y97" s="19"/>
      <c r="Z97" s="19"/>
      <c r="AA97" s="19"/>
      <c r="AB97" s="19"/>
      <c r="AC97" s="19"/>
      <c r="AD97" s="31">
        <v>45824</v>
      </c>
    </row>
    <row r="98" s="1" customFormat="1" ht="42" spans="1:30">
      <c r="A98" s="21"/>
      <c r="B98" s="32"/>
      <c r="C98" s="23"/>
      <c r="D98" s="18" t="s">
        <v>302</v>
      </c>
      <c r="E98" s="19">
        <f t="shared" si="4"/>
        <v>2</v>
      </c>
      <c r="F98" s="19"/>
      <c r="G98" s="19"/>
      <c r="H98" s="19">
        <v>2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20">
        <v>45833</v>
      </c>
    </row>
    <row r="99" s="1" customFormat="1" ht="42" spans="1:30">
      <c r="A99" s="15">
        <v>35</v>
      </c>
      <c r="B99" s="16" t="str">
        <f>D100</f>
        <v>中国民生银行股份有限公司</v>
      </c>
      <c r="C99" s="17">
        <f t="shared" si="5"/>
        <v>25.5</v>
      </c>
      <c r="D99" s="18" t="s">
        <v>303</v>
      </c>
      <c r="E99" s="19">
        <f t="shared" si="4"/>
        <v>12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>
        <v>5</v>
      </c>
      <c r="S99" s="19"/>
      <c r="T99" s="19"/>
      <c r="U99" s="19"/>
      <c r="V99" s="19"/>
      <c r="W99" s="19"/>
      <c r="X99" s="19"/>
      <c r="Y99" s="19"/>
      <c r="Z99" s="19"/>
      <c r="AA99" s="19"/>
      <c r="AB99" s="19">
        <v>3</v>
      </c>
      <c r="AC99" s="19">
        <v>4</v>
      </c>
      <c r="AD99" s="20">
        <v>45824</v>
      </c>
    </row>
    <row r="100" s="1" customFormat="1" ht="42" spans="1:30">
      <c r="A100" s="21"/>
      <c r="B100" s="22"/>
      <c r="C100" s="23"/>
      <c r="D100" s="18" t="s">
        <v>304</v>
      </c>
      <c r="E100" s="19">
        <f t="shared" si="4"/>
        <v>13.5</v>
      </c>
      <c r="F100" s="19">
        <v>3</v>
      </c>
      <c r="G100" s="19"/>
      <c r="H100" s="19"/>
      <c r="I100" s="19"/>
      <c r="J100" s="19"/>
      <c r="K100" s="19">
        <v>1</v>
      </c>
      <c r="L100" s="19"/>
      <c r="M100" s="19">
        <v>3</v>
      </c>
      <c r="N100" s="19"/>
      <c r="O100" s="19">
        <v>1.5</v>
      </c>
      <c r="P100" s="19"/>
      <c r="Q100" s="19"/>
      <c r="R100" s="19"/>
      <c r="S100" s="19"/>
      <c r="T100" s="19"/>
      <c r="U100" s="19"/>
      <c r="V100" s="19">
        <v>5</v>
      </c>
      <c r="W100" s="19"/>
      <c r="X100" s="19"/>
      <c r="Y100" s="19"/>
      <c r="Z100" s="19"/>
      <c r="AA100" s="19"/>
      <c r="AB100" s="19"/>
      <c r="AC100" s="19"/>
      <c r="AD100" s="20">
        <v>46057</v>
      </c>
    </row>
    <row r="101" s="1" customFormat="1" ht="42" spans="1:30">
      <c r="A101" s="15">
        <v>36</v>
      </c>
      <c r="B101" s="16" t="str">
        <f>D102</f>
        <v>杭州银行股份有限公司</v>
      </c>
      <c r="C101" s="17">
        <f t="shared" si="5"/>
        <v>23</v>
      </c>
      <c r="D101" s="18" t="s">
        <v>305</v>
      </c>
      <c r="E101" s="19">
        <f t="shared" si="4"/>
        <v>6</v>
      </c>
      <c r="F101" s="19"/>
      <c r="G101" s="19"/>
      <c r="H101" s="19">
        <v>6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20">
        <v>45824</v>
      </c>
    </row>
    <row r="102" s="1" customFormat="1" ht="42" spans="1:30">
      <c r="A102" s="21"/>
      <c r="B102" s="22"/>
      <c r="C102" s="23"/>
      <c r="D102" s="18" t="s">
        <v>306</v>
      </c>
      <c r="E102" s="19">
        <f t="shared" si="4"/>
        <v>17</v>
      </c>
      <c r="F102" s="19">
        <v>2</v>
      </c>
      <c r="G102" s="19"/>
      <c r="H102" s="19"/>
      <c r="I102" s="19"/>
      <c r="J102" s="19"/>
      <c r="K102" s="19"/>
      <c r="L102" s="19"/>
      <c r="M102" s="19">
        <v>13</v>
      </c>
      <c r="N102" s="19"/>
      <c r="O102" s="19">
        <v>2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20">
        <v>45824</v>
      </c>
    </row>
    <row r="103" s="1" customFormat="1" ht="42" spans="1:30">
      <c r="A103" s="15">
        <v>37</v>
      </c>
      <c r="B103" s="16" t="str">
        <f>D103</f>
        <v>江苏银行股份有限公司</v>
      </c>
      <c r="C103" s="17">
        <f>E103+E104+E105</f>
        <v>23</v>
      </c>
      <c r="D103" s="18" t="s">
        <v>307</v>
      </c>
      <c r="E103" s="19">
        <f t="shared" si="4"/>
        <v>16</v>
      </c>
      <c r="F103" s="28"/>
      <c r="G103" s="28"/>
      <c r="H103" s="28"/>
      <c r="I103" s="28"/>
      <c r="J103" s="28"/>
      <c r="K103" s="28"/>
      <c r="L103" s="28"/>
      <c r="M103" s="28">
        <v>8</v>
      </c>
      <c r="N103" s="28"/>
      <c r="O103" s="28">
        <v>8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19"/>
      <c r="AD103" s="20">
        <v>45824</v>
      </c>
    </row>
    <row r="104" s="1" customFormat="1" ht="42" spans="1:30">
      <c r="A104" s="24"/>
      <c r="B104" s="25"/>
      <c r="C104" s="26"/>
      <c r="D104" s="18" t="s">
        <v>308</v>
      </c>
      <c r="E104" s="19">
        <f t="shared" si="4"/>
        <v>3</v>
      </c>
      <c r="F104" s="28"/>
      <c r="G104" s="28"/>
      <c r="H104" s="28">
        <v>3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19"/>
      <c r="AD104" s="20">
        <v>45824</v>
      </c>
    </row>
    <row r="105" s="1" customFormat="1" ht="42" spans="1:30">
      <c r="A105" s="21"/>
      <c r="B105" s="22"/>
      <c r="C105" s="23"/>
      <c r="D105" s="18" t="s">
        <v>309</v>
      </c>
      <c r="E105" s="19">
        <f t="shared" si="4"/>
        <v>4</v>
      </c>
      <c r="F105" s="28"/>
      <c r="G105" s="28"/>
      <c r="H105" s="28">
        <v>4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19"/>
      <c r="AD105" s="20">
        <v>45824</v>
      </c>
    </row>
    <row r="106" s="1" customFormat="1" ht="56" spans="1:30">
      <c r="A106" s="15">
        <v>38</v>
      </c>
      <c r="B106" s="16" t="str">
        <f>D106</f>
        <v>上海农村商业银行股份有限公司</v>
      </c>
      <c r="C106" s="17">
        <f t="shared" ref="C106:C110" si="6">E106+E107</f>
        <v>12</v>
      </c>
      <c r="D106" s="18" t="s">
        <v>310</v>
      </c>
      <c r="E106" s="19">
        <f t="shared" si="4"/>
        <v>10</v>
      </c>
      <c r="F106" s="28"/>
      <c r="G106" s="28"/>
      <c r="H106" s="28"/>
      <c r="I106" s="28">
        <v>1</v>
      </c>
      <c r="J106" s="28"/>
      <c r="K106" s="28">
        <v>1</v>
      </c>
      <c r="L106" s="28"/>
      <c r="M106" s="28">
        <v>0.5</v>
      </c>
      <c r="N106" s="28">
        <v>5</v>
      </c>
      <c r="O106" s="28">
        <v>1</v>
      </c>
      <c r="P106" s="28"/>
      <c r="Q106" s="28"/>
      <c r="R106" s="28"/>
      <c r="S106" s="28"/>
      <c r="T106" s="28"/>
      <c r="U106" s="28"/>
      <c r="V106" s="28">
        <v>1.5</v>
      </c>
      <c r="W106" s="28"/>
      <c r="X106" s="28"/>
      <c r="Y106" s="28"/>
      <c r="Z106" s="28"/>
      <c r="AA106" s="28"/>
      <c r="AB106" s="28"/>
      <c r="AC106" s="19"/>
      <c r="AD106" s="20">
        <v>45824</v>
      </c>
    </row>
    <row r="107" s="1" customFormat="1" ht="42" spans="1:30">
      <c r="A107" s="21"/>
      <c r="B107" s="22"/>
      <c r="C107" s="23"/>
      <c r="D107" s="18" t="s">
        <v>311</v>
      </c>
      <c r="E107" s="19">
        <f t="shared" si="4"/>
        <v>2</v>
      </c>
      <c r="F107" s="28"/>
      <c r="G107" s="28"/>
      <c r="H107" s="28">
        <v>2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19"/>
      <c r="AD107" s="20">
        <v>45824</v>
      </c>
    </row>
    <row r="108" s="1" customFormat="1" ht="56" spans="1:30">
      <c r="A108" s="15">
        <v>39</v>
      </c>
      <c r="B108" s="16" t="str">
        <f>D109</f>
        <v>国海证券股份有限公司</v>
      </c>
      <c r="C108" s="17">
        <f t="shared" si="6"/>
        <v>7</v>
      </c>
      <c r="D108" s="18" t="s">
        <v>312</v>
      </c>
      <c r="E108" s="19">
        <f t="shared" si="4"/>
        <v>2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>
        <v>2</v>
      </c>
      <c r="AC108" s="19"/>
      <c r="AD108" s="20">
        <v>45824</v>
      </c>
    </row>
    <row r="109" s="1" customFormat="1" ht="42" spans="1:30">
      <c r="A109" s="21"/>
      <c r="B109" s="22"/>
      <c r="C109" s="23"/>
      <c r="D109" s="18" t="s">
        <v>313</v>
      </c>
      <c r="E109" s="19">
        <f t="shared" si="4"/>
        <v>5</v>
      </c>
      <c r="F109" s="28"/>
      <c r="G109" s="28"/>
      <c r="H109" s="28">
        <v>3</v>
      </c>
      <c r="I109" s="28">
        <v>1</v>
      </c>
      <c r="J109" s="28"/>
      <c r="K109" s="28"/>
      <c r="L109" s="28"/>
      <c r="M109" s="28"/>
      <c r="N109" s="28">
        <v>1</v>
      </c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19"/>
      <c r="AD109" s="20">
        <v>45824</v>
      </c>
    </row>
    <row r="110" s="1" customFormat="1" ht="42" spans="1:30">
      <c r="A110" s="15">
        <v>40</v>
      </c>
      <c r="B110" s="16" t="s">
        <v>314</v>
      </c>
      <c r="C110" s="17">
        <f t="shared" si="6"/>
        <v>10</v>
      </c>
      <c r="D110" s="18" t="s">
        <v>315</v>
      </c>
      <c r="E110" s="19">
        <v>3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>
        <v>3</v>
      </c>
      <c r="AC110" s="33"/>
      <c r="AD110" s="20">
        <v>45824</v>
      </c>
    </row>
    <row r="111" s="1" customFormat="1" ht="42" spans="1:30">
      <c r="A111" s="21"/>
      <c r="B111" s="22"/>
      <c r="C111" s="23"/>
      <c r="D111" s="18" t="s">
        <v>314</v>
      </c>
      <c r="E111" s="19">
        <v>7</v>
      </c>
      <c r="F111" s="33"/>
      <c r="G111" s="33"/>
      <c r="H111" s="33"/>
      <c r="I111" s="33"/>
      <c r="J111" s="33">
        <v>2</v>
      </c>
      <c r="K111" s="33">
        <v>1</v>
      </c>
      <c r="L111" s="33"/>
      <c r="M111" s="33"/>
      <c r="N111" s="33"/>
      <c r="O111" s="33"/>
      <c r="P111" s="33"/>
      <c r="Q111" s="33"/>
      <c r="R111" s="33">
        <v>2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>
        <v>2</v>
      </c>
      <c r="AC111" s="33"/>
      <c r="AD111" s="20">
        <v>45824</v>
      </c>
    </row>
    <row r="112" s="1" customFormat="1" ht="42" spans="1:30">
      <c r="A112" s="15">
        <v>41</v>
      </c>
      <c r="B112" s="34" t="s">
        <v>316</v>
      </c>
      <c r="C112" s="17">
        <f t="shared" ref="C112:C116" si="7">E112+E113</f>
        <v>12</v>
      </c>
      <c r="D112" s="18" t="s">
        <v>317</v>
      </c>
      <c r="E112" s="28">
        <f t="shared" ref="E112:E119" si="8">SUM(F112:AC112)</f>
        <v>5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>
        <v>3</v>
      </c>
      <c r="AC112" s="28">
        <v>2</v>
      </c>
      <c r="AD112" s="20">
        <v>45824</v>
      </c>
    </row>
    <row r="113" s="1" customFormat="1" ht="42" spans="1:30">
      <c r="A113" s="21"/>
      <c r="B113" s="35"/>
      <c r="C113" s="23"/>
      <c r="D113" s="36" t="s">
        <v>316</v>
      </c>
      <c r="E113" s="28">
        <f t="shared" si="8"/>
        <v>7</v>
      </c>
      <c r="F113" s="33"/>
      <c r="G113" s="33"/>
      <c r="H113" s="33">
        <v>5</v>
      </c>
      <c r="I113" s="33">
        <v>1</v>
      </c>
      <c r="J113" s="33"/>
      <c r="K113" s="33"/>
      <c r="L113" s="33"/>
      <c r="M113" s="33"/>
      <c r="N113" s="33">
        <v>1</v>
      </c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20">
        <v>45824</v>
      </c>
    </row>
    <row r="114" s="1" customFormat="1" ht="56" spans="1:30">
      <c r="A114" s="15">
        <v>42</v>
      </c>
      <c r="B114" s="16" t="s">
        <v>318</v>
      </c>
      <c r="C114" s="17">
        <f t="shared" si="7"/>
        <v>7</v>
      </c>
      <c r="D114" s="18" t="s">
        <v>318</v>
      </c>
      <c r="E114" s="28">
        <f t="shared" si="8"/>
        <v>5</v>
      </c>
      <c r="F114" s="37"/>
      <c r="G114" s="38"/>
      <c r="H114" s="28"/>
      <c r="I114" s="28"/>
      <c r="J114" s="28"/>
      <c r="K114" s="28"/>
      <c r="L114" s="28"/>
      <c r="M114" s="28"/>
      <c r="N114" s="28"/>
      <c r="O114" s="28">
        <v>5</v>
      </c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0">
        <v>45824</v>
      </c>
    </row>
    <row r="115" s="1" customFormat="1" ht="42" spans="1:30">
      <c r="A115" s="21"/>
      <c r="B115" s="22"/>
      <c r="C115" s="23"/>
      <c r="D115" s="36" t="s">
        <v>319</v>
      </c>
      <c r="E115" s="28">
        <f t="shared" si="8"/>
        <v>2</v>
      </c>
      <c r="F115" s="33"/>
      <c r="G115" s="33"/>
      <c r="H115" s="33">
        <v>2</v>
      </c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20">
        <v>45824</v>
      </c>
    </row>
    <row r="116" s="1" customFormat="1" ht="45" spans="1:30">
      <c r="A116" s="15">
        <v>43</v>
      </c>
      <c r="B116" s="29" t="s">
        <v>320</v>
      </c>
      <c r="C116" s="39">
        <f t="shared" si="7"/>
        <v>7</v>
      </c>
      <c r="D116" s="30" t="s">
        <v>320</v>
      </c>
      <c r="E116" s="28">
        <f t="shared" si="8"/>
        <v>5</v>
      </c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>
        <v>3</v>
      </c>
      <c r="AC116" s="41">
        <v>2</v>
      </c>
      <c r="AD116" s="42">
        <v>45824</v>
      </c>
    </row>
    <row r="117" s="1" customFormat="1" ht="42" spans="1:30">
      <c r="A117" s="21"/>
      <c r="B117" s="32"/>
      <c r="C117" s="43"/>
      <c r="D117" s="44" t="s">
        <v>321</v>
      </c>
      <c r="E117" s="28">
        <f t="shared" si="8"/>
        <v>2</v>
      </c>
      <c r="F117" s="40"/>
      <c r="G117" s="40"/>
      <c r="H117" s="40">
        <v>2</v>
      </c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1"/>
      <c r="AD117" s="42">
        <v>45974</v>
      </c>
    </row>
    <row r="118" s="1" customFormat="1" ht="45" spans="1:30">
      <c r="A118" s="15">
        <v>44</v>
      </c>
      <c r="B118" s="29" t="s">
        <v>47</v>
      </c>
      <c r="C118" s="39">
        <f>E118+E119</f>
        <v>22</v>
      </c>
      <c r="D118" s="30" t="s">
        <v>47</v>
      </c>
      <c r="E118" s="28">
        <f t="shared" si="8"/>
        <v>18</v>
      </c>
      <c r="F118" s="40"/>
      <c r="G118" s="40"/>
      <c r="H118" s="40"/>
      <c r="I118" s="40"/>
      <c r="J118" s="40"/>
      <c r="K118" s="40"/>
      <c r="L118" s="40"/>
      <c r="M118" s="45">
        <v>10</v>
      </c>
      <c r="N118" s="45"/>
      <c r="O118" s="45">
        <v>8</v>
      </c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1"/>
      <c r="AD118" s="31">
        <v>45824</v>
      </c>
    </row>
    <row r="119" s="1" customFormat="1" ht="70" spans="1:30">
      <c r="A119" s="21"/>
      <c r="B119" s="32"/>
      <c r="C119" s="43"/>
      <c r="D119" s="46" t="s">
        <v>322</v>
      </c>
      <c r="E119" s="28">
        <f t="shared" si="8"/>
        <v>4</v>
      </c>
      <c r="F119" s="40"/>
      <c r="G119" s="40"/>
      <c r="H119" s="40">
        <v>4</v>
      </c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1"/>
      <c r="AD119" s="47">
        <v>45974</v>
      </c>
    </row>
    <row r="120" s="1" customFormat="1" ht="17.5" spans="1:30">
      <c r="A120" s="48"/>
      <c r="B120" s="18"/>
      <c r="C120" s="49"/>
      <c r="D120" s="44"/>
      <c r="E120" s="5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1"/>
    </row>
    <row r="121" s="1" customFormat="1" ht="120" customHeight="1" spans="1:30">
      <c r="A121" s="45" t="s">
        <v>198</v>
      </c>
      <c r="B121" s="45"/>
      <c r="C121" s="51" t="s">
        <v>323</v>
      </c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3"/>
    </row>
    <row r="122" s="1" customFormat="1" ht="120" customHeight="1" spans="1:30">
      <c r="A122" s="45" t="s">
        <v>199</v>
      </c>
      <c r="B122" s="45"/>
      <c r="C122" s="54" t="s">
        <v>323</v>
      </c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6"/>
    </row>
    <row r="123" s="1" customFormat="1" ht="120" customHeight="1" spans="1:30">
      <c r="A123" s="45" t="s">
        <v>200</v>
      </c>
      <c r="B123" s="45"/>
      <c r="C123" s="54" t="s">
        <v>324</v>
      </c>
      <c r="D123" s="54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6"/>
    </row>
    <row r="124" s="1" customFormat="1" ht="120" customHeight="1" spans="1:30">
      <c r="A124" s="45" t="s">
        <v>201</v>
      </c>
      <c r="B124" s="45"/>
      <c r="C124" s="54" t="s">
        <v>324</v>
      </c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6"/>
    </row>
    <row r="125" s="1" customFormat="1" ht="120" customHeight="1" spans="1:30">
      <c r="A125" s="45" t="s">
        <v>202</v>
      </c>
      <c r="B125" s="45"/>
      <c r="C125" s="54" t="s">
        <v>324</v>
      </c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6"/>
    </row>
  </sheetData>
  <autoFilter xmlns:etc="http://www.wps.cn/officeDocument/2017/etCustomData" ref="A3:AC125" etc:filterBottomFollowUsedRange="0">
    <extLst/>
  </autoFilter>
  <mergeCells count="140">
    <mergeCell ref="A1:AC1"/>
    <mergeCell ref="P2:Z2"/>
    <mergeCell ref="A121:B121"/>
    <mergeCell ref="C121:AC121"/>
    <mergeCell ref="A122:B122"/>
    <mergeCell ref="A123:B123"/>
    <mergeCell ref="A124:B124"/>
    <mergeCell ref="A125:B125"/>
    <mergeCell ref="A4:A5"/>
    <mergeCell ref="A6:A8"/>
    <mergeCell ref="A9:A13"/>
    <mergeCell ref="A14:A15"/>
    <mergeCell ref="A16:A17"/>
    <mergeCell ref="A18:A19"/>
    <mergeCell ref="A20:A22"/>
    <mergeCell ref="A23:A26"/>
    <mergeCell ref="A27:A29"/>
    <mergeCell ref="A30:A31"/>
    <mergeCell ref="A32:A33"/>
    <mergeCell ref="A34:A36"/>
    <mergeCell ref="A37:A38"/>
    <mergeCell ref="A39:A42"/>
    <mergeCell ref="A43:A44"/>
    <mergeCell ref="A45:A46"/>
    <mergeCell ref="A47:A48"/>
    <mergeCell ref="A49:A51"/>
    <mergeCell ref="A52:A54"/>
    <mergeCell ref="A55:A56"/>
    <mergeCell ref="A57:A58"/>
    <mergeCell ref="A59:A62"/>
    <mergeCell ref="A63:A65"/>
    <mergeCell ref="A66:A69"/>
    <mergeCell ref="A70:A72"/>
    <mergeCell ref="A73:A75"/>
    <mergeCell ref="A76:A78"/>
    <mergeCell ref="A79:A81"/>
    <mergeCell ref="A82:A85"/>
    <mergeCell ref="A86:A87"/>
    <mergeCell ref="A88:A91"/>
    <mergeCell ref="A92:A93"/>
    <mergeCell ref="A94:A96"/>
    <mergeCell ref="A97:A98"/>
    <mergeCell ref="A99:A100"/>
    <mergeCell ref="A101:A102"/>
    <mergeCell ref="A103:A105"/>
    <mergeCell ref="A106:A107"/>
    <mergeCell ref="A108:A109"/>
    <mergeCell ref="A110:A111"/>
    <mergeCell ref="A112:A113"/>
    <mergeCell ref="A114:A115"/>
    <mergeCell ref="A116:A117"/>
    <mergeCell ref="A118:A119"/>
    <mergeCell ref="B4:B5"/>
    <mergeCell ref="B6:B8"/>
    <mergeCell ref="B9:B13"/>
    <mergeCell ref="B14:B15"/>
    <mergeCell ref="B16:B17"/>
    <mergeCell ref="B18:B19"/>
    <mergeCell ref="B20:B22"/>
    <mergeCell ref="B23:B26"/>
    <mergeCell ref="B27:B29"/>
    <mergeCell ref="B30:B31"/>
    <mergeCell ref="B32:B33"/>
    <mergeCell ref="B34:B36"/>
    <mergeCell ref="B37:B38"/>
    <mergeCell ref="B39:B42"/>
    <mergeCell ref="B43:B44"/>
    <mergeCell ref="B45:B46"/>
    <mergeCell ref="B47:B48"/>
    <mergeCell ref="B49:B51"/>
    <mergeCell ref="B52:B54"/>
    <mergeCell ref="B55:B56"/>
    <mergeCell ref="B57:B58"/>
    <mergeCell ref="B59:B62"/>
    <mergeCell ref="B63:B65"/>
    <mergeCell ref="B66:B69"/>
    <mergeCell ref="B70:B72"/>
    <mergeCell ref="B73:B75"/>
    <mergeCell ref="B76:B78"/>
    <mergeCell ref="B79:B81"/>
    <mergeCell ref="B82:B85"/>
    <mergeCell ref="B86:B87"/>
    <mergeCell ref="B88:B91"/>
    <mergeCell ref="B92:B93"/>
    <mergeCell ref="B94:B96"/>
    <mergeCell ref="B97:B98"/>
    <mergeCell ref="B99:B100"/>
    <mergeCell ref="B101:B102"/>
    <mergeCell ref="B103:B105"/>
    <mergeCell ref="B106:B107"/>
    <mergeCell ref="B108:B109"/>
    <mergeCell ref="B110:B111"/>
    <mergeCell ref="B112:B113"/>
    <mergeCell ref="B114:B115"/>
    <mergeCell ref="B116:B117"/>
    <mergeCell ref="B118:B119"/>
    <mergeCell ref="C4:C5"/>
    <mergeCell ref="C6:C8"/>
    <mergeCell ref="C9:C13"/>
    <mergeCell ref="C14:C15"/>
    <mergeCell ref="C16:C17"/>
    <mergeCell ref="C18:C19"/>
    <mergeCell ref="C20:C22"/>
    <mergeCell ref="C23:C26"/>
    <mergeCell ref="C27:C29"/>
    <mergeCell ref="C30:C31"/>
    <mergeCell ref="C32:C33"/>
    <mergeCell ref="C34:C36"/>
    <mergeCell ref="C37:C38"/>
    <mergeCell ref="C39:C42"/>
    <mergeCell ref="C43:C44"/>
    <mergeCell ref="C45:C46"/>
    <mergeCell ref="C47:C48"/>
    <mergeCell ref="C49:C51"/>
    <mergeCell ref="C52:C54"/>
    <mergeCell ref="C55:C56"/>
    <mergeCell ref="C57:C58"/>
    <mergeCell ref="C59:C62"/>
    <mergeCell ref="C63:C65"/>
    <mergeCell ref="C66:C69"/>
    <mergeCell ref="C70:C72"/>
    <mergeCell ref="C73:C75"/>
    <mergeCell ref="C76:C78"/>
    <mergeCell ref="C79:C81"/>
    <mergeCell ref="C82:C85"/>
    <mergeCell ref="C86:C87"/>
    <mergeCell ref="C88:C91"/>
    <mergeCell ref="C92:C93"/>
    <mergeCell ref="C94:C96"/>
    <mergeCell ref="C97:C98"/>
    <mergeCell ref="C99:C100"/>
    <mergeCell ref="C101:C102"/>
    <mergeCell ref="C103:C105"/>
    <mergeCell ref="C106:C107"/>
    <mergeCell ref="C108:C109"/>
    <mergeCell ref="C110:C111"/>
    <mergeCell ref="C112:C113"/>
    <mergeCell ref="C114:C115"/>
    <mergeCell ref="C116:C117"/>
    <mergeCell ref="C118:C119"/>
  </mergeCells>
  <pageMargins left="0.751388888888889" right="0.751388888888889" top="1" bottom="1" header="0.511805555555556" footer="0.511805555555556"/>
  <pageSetup paperSize="9" scale="45" fitToHeight="0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单体</vt:lpstr>
      <vt:lpstr>集团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minotaur</cp:lastModifiedBy>
  <dcterms:created xsi:type="dcterms:W3CDTF">2023-05-12T11:15:00Z</dcterms:created>
  <dcterms:modified xsi:type="dcterms:W3CDTF">2026-03-18T08:33:02Z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FD5E25E0FA5F44298849BE19FE1791B3_13</vt:lpwstr>
  </property>
  <property fmtid="{D5CDD505-2E9C-101B-9397-08002B2CF9AE}" pid="4" name="CalculationRule">
    <vt:i4>0</vt:i4>
  </property>
</Properties>
</file>